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low" sheetId="1" r:id="rId5"/>
    <sheet state="visible" name="Intro" sheetId="2" r:id="rId6"/>
    <sheet state="visible" name="non-live prediction" sheetId="3" r:id="rId7"/>
    <sheet state="visible" name="OU Probability" sheetId="4" r:id="rId8"/>
    <sheet state="visible" name="Stats Model + Matrix" sheetId="5" r:id="rId9"/>
    <sheet state="visible" name="OU Matrix values" sheetId="6" r:id="rId10"/>
    <sheet state="visible" name="HDP Probability" sheetId="7" r:id="rId11"/>
    <sheet state="visible" name="Poisson" sheetId="8" r:id="rId12"/>
    <sheet state="hidden" name="Spread" sheetId="9" r:id="rId13"/>
    <sheet state="hidden" name="TOR" sheetId="10" r:id="rId14"/>
  </sheets>
  <definedNames/>
  <calcPr/>
</workbook>
</file>

<file path=xl/sharedStrings.xml><?xml version="1.0" encoding="utf-8"?>
<sst xmlns="http://schemas.openxmlformats.org/spreadsheetml/2006/main" count="534" uniqueCount="152">
  <si>
    <t>Topic</t>
  </si>
  <si>
    <t>What will you take away from this session?</t>
  </si>
  <si>
    <t>Q: How to do non-live prediction for OU &amp; HDP market?</t>
  </si>
  <si>
    <t>Q: Calculate the true odds of each bet option.</t>
  </si>
  <si>
    <t>Take away</t>
  </si>
  <si>
    <t>non-live prediction (roughly idea)</t>
  </si>
  <si>
    <t>怎麼預測下一場 estimated OU &amp; HDP</t>
  </si>
  <si>
    <t>OU Probability</t>
  </si>
  <si>
    <t>Probability of .5 &amp; .0</t>
  </si>
  <si>
    <t>Probability of .25 &amp; .75</t>
  </si>
  <si>
    <t>Matrix</t>
  </si>
  <si>
    <t>Total goal = H &amp; A Matrix</t>
  </si>
  <si>
    <t>If we have past 10 matches historical data of this h2h as follows</t>
  </si>
  <si>
    <t>Matrix Values</t>
  </si>
  <si>
    <t>What is the relationship between matrix values and the probability of bet option?</t>
  </si>
  <si>
    <t>HDP Probability</t>
  </si>
  <si>
    <t>Start to know how to be a pro-player!</t>
  </si>
  <si>
    <t>Poisson</t>
  </si>
  <si>
    <t>What is spread?</t>
  </si>
  <si>
    <t>What is the margin under each price</t>
  </si>
  <si>
    <t>1. What's the final outcome of the next game?</t>
  </si>
  <si>
    <t>&gt;&gt; NonLive point prediction ( OU+HDP )</t>
  </si>
  <si>
    <t>No.</t>
  </si>
  <si>
    <t>2. Able to calculate the ture probability for each market and each point</t>
  </si>
  <si>
    <t>&gt;&gt; Why we need to calculate true probability?</t>
  </si>
  <si>
    <t>&gt;&gt; How to get the true probability of each market or each point?</t>
  </si>
  <si>
    <t>&gt;&gt; OU &amp; HDP</t>
  </si>
  <si>
    <t>Home</t>
  </si>
  <si>
    <t>&gt;&gt; point .5</t>
  </si>
  <si>
    <t>&gt;&gt; point .0</t>
  </si>
  <si>
    <t>&gt;&gt; point .25 &amp; .75</t>
  </si>
  <si>
    <t>Away</t>
  </si>
  <si>
    <t>3. If sample data not enought to do predict, what should we do?</t>
  </si>
  <si>
    <t xml:space="preserve">&gt;&gt; What might be the problem with insufficient sample data? </t>
  </si>
  <si>
    <t>Total Score</t>
  </si>
  <si>
    <t>&gt;&gt; How to solve the problem? Any math. method? or any others?</t>
  </si>
  <si>
    <t>4. As time goes on, the odds of live will change and how it will be changed?</t>
  </si>
  <si>
    <t>&gt;&gt; Strength decay</t>
  </si>
  <si>
    <t>Counts</t>
  </si>
  <si>
    <t>sum</t>
  </si>
  <si>
    <t>What is estimated goal for each team? &gt;&gt; initial team strength</t>
  </si>
  <si>
    <t>Q: How to estimate the probability through statistical models when the amount of data is insufficient?</t>
  </si>
  <si>
    <t>estimated goal #</t>
  </si>
  <si>
    <t>Probability</t>
  </si>
  <si>
    <t>Please click:</t>
  </si>
  <si>
    <t>What is the estimated result for the next game? &gt;&gt; fair point</t>
  </si>
  <si>
    <t>.25, .75 calculation slide</t>
  </si>
  <si>
    <t>OU</t>
  </si>
  <si>
    <t>HDP</t>
  </si>
  <si>
    <t>11 ?</t>
  </si>
  <si>
    <t>Raw</t>
  </si>
  <si>
    <t>Which score needs to fall in each cell?</t>
  </si>
  <si>
    <t>True Probability</t>
  </si>
  <si>
    <t>True Odds in Euro</t>
  </si>
  <si>
    <t>True Odds in HK</t>
  </si>
  <si>
    <t>True Odds in Malay</t>
  </si>
  <si>
    <t>OU Point</t>
  </si>
  <si>
    <t>Count</t>
  </si>
  <si>
    <t>Over</t>
  </si>
  <si>
    <t>Under</t>
  </si>
  <si>
    <t>point 0.5</t>
  </si>
  <si>
    <t>Please use the statistical model to get the probability.</t>
  </si>
  <si>
    <t>Avg.Goal</t>
  </si>
  <si>
    <t>exact method</t>
  </si>
  <si>
    <t>Q: What statistical method do you think is suitable for our data?</t>
  </si>
  <si>
    <t xml:space="preserve">statistical method </t>
  </si>
  <si>
    <t>integer point</t>
  </si>
  <si>
    <t>Avg. Goal</t>
  </si>
  <si>
    <t>Q: How to estimate the probability by given probability of home and away?</t>
  </si>
  <si>
    <t>if place bet on Over</t>
  </si>
  <si>
    <t>Win all</t>
  </si>
  <si>
    <t>Win/Lose half</t>
  </si>
  <si>
    <t>Lose all</t>
  </si>
  <si>
    <t>point 0.25</t>
  </si>
  <si>
    <t>if place bet on Under</t>
  </si>
  <si>
    <t>point 0.75</t>
  </si>
  <si>
    <r>
      <rPr>
        <rFont val="Arial"/>
        <color theme="1"/>
      </rPr>
      <t xml:space="preserve">Which score needs to fall in each cell? if i place </t>
    </r>
    <r>
      <rPr>
        <rFont val="Arial"/>
        <b/>
        <color theme="1"/>
      </rPr>
      <t>Over</t>
    </r>
  </si>
  <si>
    <t>What's the probability for x1, x2 and x3?</t>
  </si>
  <si>
    <t>How to get the Upper / Diag / Lower in an efficient way? ( Hint: Round the point )</t>
  </si>
  <si>
    <t>Ｗin all (x1)</t>
  </si>
  <si>
    <t>Win half (x2)</t>
  </si>
  <si>
    <t>Lose half (x2)</t>
  </si>
  <si>
    <t>Lose all (x3)</t>
  </si>
  <si>
    <t>Upper</t>
  </si>
  <si>
    <t>Diag</t>
  </si>
  <si>
    <t>Lower</t>
  </si>
  <si>
    <t>If place bet on Fav</t>
  </si>
  <si>
    <t>HDP Point</t>
  </si>
  <si>
    <r>
      <rPr>
        <rFont val="Arial"/>
        <color theme="1"/>
      </rPr>
      <t>Win half</t>
    </r>
    <r>
      <rPr>
        <rFont val="Arial"/>
        <color theme="1"/>
      </rPr>
      <t>/Lose half</t>
    </r>
  </si>
  <si>
    <t>Fav</t>
  </si>
  <si>
    <t>Udg</t>
  </si>
  <si>
    <t>Please fill up the color</t>
  </si>
  <si>
    <t>Formula</t>
  </si>
  <si>
    <t>Point End With ?</t>
  </si>
  <si>
    <r>
      <rPr>
        <rFont val="Arial"/>
        <color theme="1"/>
      </rPr>
      <t>Win half</t>
    </r>
    <r>
      <rPr>
        <rFont val="Arial"/>
        <color theme="1"/>
      </rPr>
      <t>/Lose half</t>
    </r>
  </si>
  <si>
    <t>Definition</t>
  </si>
  <si>
    <t>upper</t>
  </si>
  <si>
    <t>lose all</t>
  </si>
  <si>
    <t>diag</t>
  </si>
  <si>
    <t>half win/ half lose</t>
  </si>
  <si>
    <t>lower</t>
  </si>
  <si>
    <t>win all</t>
  </si>
  <si>
    <t>under = lower / (lower + upper)</t>
  </si>
  <si>
    <t>over = upper / (upper + lower)</t>
  </si>
  <si>
    <t>over = lower / (lower + 0.5*diag + upper)</t>
  </si>
  <si>
    <t>under = 1 - over</t>
  </si>
  <si>
    <t>over = lower + diag</t>
  </si>
  <si>
    <t>under = upper</t>
  </si>
  <si>
    <t>over = 1 - under</t>
  </si>
  <si>
    <t>under = upper / (upper + 0.5*diag + lower)</t>
  </si>
  <si>
    <t>Total game time</t>
  </si>
  <si>
    <t>Remainning
Game time</t>
  </si>
  <si>
    <t>Str. decay factor</t>
  </si>
  <si>
    <t>Initial Team Str.</t>
  </si>
  <si>
    <t>Live Team Str.</t>
  </si>
  <si>
    <t>Total</t>
  </si>
  <si>
    <t>Prob. Matrix</t>
  </si>
  <si>
    <t>x =</t>
  </si>
  <si>
    <t>y =</t>
  </si>
  <si>
    <t>player placed x on over</t>
  </si>
  <si>
    <t>player placed y on under</t>
  </si>
  <si>
    <t>Final result</t>
  </si>
  <si>
    <t>Spread</t>
  </si>
  <si>
    <t>Over HK</t>
  </si>
  <si>
    <t>Under HK</t>
  </si>
  <si>
    <t>Over Malay</t>
  </si>
  <si>
    <t>Under Malay</t>
  </si>
  <si>
    <t>over win</t>
  </si>
  <si>
    <t>over lose</t>
  </si>
  <si>
    <t>under win</t>
  </si>
  <si>
    <t>under lose</t>
  </si>
  <si>
    <t>if Over</t>
  </si>
  <si>
    <t>if Under</t>
  </si>
  <si>
    <t>Expected Value</t>
  </si>
  <si>
    <t>Player expected profit</t>
  </si>
  <si>
    <t>Homework</t>
  </si>
  <si>
    <t>Matrix Value</t>
  </si>
  <si>
    <t>Malay odds</t>
  </si>
  <si>
    <t>Euro Odds</t>
  </si>
  <si>
    <t>HK Odds</t>
  </si>
  <si>
    <t>Malay Odds</t>
  </si>
  <si>
    <t>Malay odds w Spread</t>
  </si>
  <si>
    <t>Take % margin?</t>
  </si>
  <si>
    <t>Spread = 0.2</t>
  </si>
  <si>
    <t>Over %</t>
  </si>
  <si>
    <t>Under %</t>
  </si>
  <si>
    <t>Theo. Margin</t>
  </si>
  <si>
    <t>Spread all to Over</t>
  </si>
  <si>
    <t>Spread all to Under</t>
  </si>
  <si>
    <t>Spread 50/50</t>
  </si>
  <si>
    <t>what if Spread 
30% to Over, 
70% to Under?</t>
  </si>
  <si>
    <t>theo. margin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</si>
</sst>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000"/>
    <numFmt numFmtId="165" formatCode="0.0"/>
    <numFmt numFmtId="166" formatCode="0.0%"/>
  </numFmts>
  <fonts count="24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color rgb="FFFFFFFF"/>
      <name val="Arial"/>
      <scheme val="minor"/>
    </font>
    <font>
      <b/>
      <i/>
      <sz val="14.0"/>
      <color rgb="FF000000"/>
      <name val="Arial"/>
    </font>
    <font>
      <b/>
      <i/>
      <u/>
      <sz val="12.0"/>
      <color rgb="FF595959"/>
      <name val="Arial"/>
    </font>
    <font>
      <sz val="11.0"/>
      <color rgb="FF222222"/>
      <name val="&quot;Google Sans&quot;"/>
    </font>
    <font>
      <b/>
      <i/>
      <u/>
      <sz val="18.0"/>
      <color rgb="FF595959"/>
      <name val="Arial"/>
    </font>
    <font>
      <b/>
      <color theme="1"/>
      <name val="Arial"/>
      <scheme val="minor"/>
    </font>
    <font>
      <sz val="18.0"/>
      <color rgb="FF595959"/>
      <name val="Arial"/>
    </font>
    <font>
      <sz val="14.0"/>
      <color rgb="FF595959"/>
      <name val="Arial"/>
    </font>
    <font>
      <color theme="1"/>
      <name val="Arial"/>
    </font>
    <font>
      <b/>
      <i/>
      <u/>
      <color rgb="FF0000FF"/>
    </font>
    <font/>
    <font>
      <i/>
      <color rgb="FFCCCCCC"/>
      <name val="Arial"/>
      <scheme val="minor"/>
    </font>
    <font>
      <b/>
      <i/>
      <sz val="10.0"/>
      <color rgb="FF000000"/>
      <name val="Arial"/>
    </font>
    <font>
      <b/>
      <i/>
      <color theme="1"/>
      <name val="Arial"/>
    </font>
    <font>
      <b/>
      <i/>
      <u/>
      <color rgb="FF1155CC"/>
    </font>
    <font>
      <b/>
      <i/>
      <u/>
      <color rgb="FF1155CC"/>
      <name val="Arial"/>
      <scheme val="minor"/>
    </font>
    <font>
      <color rgb="FFFFFFFF"/>
      <name val="Arial"/>
    </font>
    <font>
      <b/>
      <color theme="1"/>
      <name val="Arial"/>
    </font>
    <font>
      <color rgb="FF000000"/>
      <name val="Arial"/>
      <scheme val="minor"/>
    </font>
    <font>
      <color rgb="FFF3F3F3"/>
      <name val="Arial"/>
      <scheme val="minor"/>
    </font>
    <font>
      <color rgb="FFEFEFE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7" numFmtId="0" xfId="0" applyFont="1"/>
    <xf borderId="0" fillId="0" fontId="3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5" fillId="0" fontId="1" numFmtId="0" xfId="0" applyAlignment="1" applyBorder="1" applyFont="1">
      <alignment horizontal="center" readingOrder="0"/>
    </xf>
    <xf borderId="0" fillId="0" fontId="10" numFmtId="0" xfId="0" applyAlignment="1" applyFont="1">
      <alignment readingOrder="0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/>
    </xf>
    <xf borderId="0" fillId="3" fontId="1" numFmtId="0" xfId="0" applyFill="1" applyFont="1"/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9" fillId="0" fontId="1" numFmtId="0" xfId="0" applyAlignment="1" applyBorder="1" applyFont="1">
      <alignment horizontal="center" readingOrder="0"/>
    </xf>
    <xf borderId="0" fillId="0" fontId="3" numFmtId="10" xfId="0" applyFont="1" applyNumberFormat="1"/>
    <xf borderId="10" fillId="0" fontId="1" numFmtId="2" xfId="0" applyAlignment="1" applyBorder="1" applyFont="1" applyNumberFormat="1">
      <alignment horizontal="center"/>
    </xf>
    <xf borderId="0" fillId="0" fontId="1" numFmtId="10" xfId="0" applyFont="1" applyNumberFormat="1"/>
    <xf borderId="0" fillId="0" fontId="3" numFmtId="164" xfId="0" applyFont="1" applyNumberFormat="1"/>
    <xf borderId="0" fillId="0" fontId="1" numFmtId="164" xfId="0" applyFont="1" applyNumberFormat="1"/>
    <xf borderId="0" fillId="0" fontId="2" numFmtId="0" xfId="0" applyAlignment="1" applyFont="1">
      <alignment horizontal="center" readingOrder="0"/>
    </xf>
    <xf borderId="0" fillId="0" fontId="11" numFmtId="0" xfId="0" applyAlignment="1" applyFont="1">
      <alignment vertical="bottom"/>
    </xf>
    <xf borderId="0" fillId="0" fontId="1" numFmtId="0" xfId="0" applyFont="1"/>
    <xf borderId="2" fillId="0" fontId="1" numFmtId="165" xfId="0" applyAlignment="1" applyBorder="1" applyFont="1" applyNumberFormat="1">
      <alignment horizontal="center"/>
    </xf>
    <xf borderId="0" fillId="0" fontId="12" numFmtId="0" xfId="0" applyAlignment="1" applyFont="1">
      <alignment readingOrder="0"/>
    </xf>
    <xf borderId="0" fillId="0" fontId="2" numFmtId="0" xfId="0" applyFont="1"/>
    <xf borderId="11" fillId="0" fontId="1" numFmtId="0" xfId="0" applyAlignment="1" applyBorder="1" applyFont="1">
      <alignment horizontal="center" readingOrder="0" vertical="center"/>
    </xf>
    <xf borderId="12" fillId="0" fontId="13" numFmtId="0" xfId="0" applyBorder="1" applyFont="1"/>
    <xf borderId="13" fillId="0" fontId="2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 readingOrder="0" vertical="center"/>
    </xf>
    <xf borderId="5" fillId="0" fontId="1" numFmtId="165" xfId="0" applyAlignment="1" applyBorder="1" applyFont="1" applyNumberFormat="1">
      <alignment horizontal="center" vertical="center"/>
    </xf>
    <xf borderId="0" fillId="0" fontId="14" numFmtId="0" xfId="0" applyAlignment="1" applyFont="1">
      <alignment readingOrder="0"/>
    </xf>
    <xf borderId="0" fillId="0" fontId="1" numFmtId="2" xfId="0" applyAlignment="1" applyFont="1" applyNumberFormat="1">
      <alignment horizontal="center" vertical="center"/>
    </xf>
    <xf borderId="5" fillId="0" fontId="1" numFmtId="2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horizontal="center"/>
    </xf>
    <xf borderId="0" fillId="2" fontId="15" numFmtId="0" xfId="0" applyAlignment="1" applyFill="1" applyFont="1">
      <alignment horizontal="left"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0" fillId="0" fontId="8" numFmtId="0" xfId="0" applyAlignment="1" applyFont="1">
      <alignment horizontal="right" readingOrder="0" vertical="top"/>
    </xf>
    <xf borderId="4" fillId="0" fontId="1" numFmtId="0" xfId="0" applyBorder="1" applyFont="1"/>
    <xf borderId="0" fillId="0" fontId="1" numFmtId="166" xfId="0" applyFont="1" applyNumberFormat="1"/>
    <xf borderId="0" fillId="0" fontId="16" numFmtId="0" xfId="0" applyAlignment="1" applyFont="1">
      <alignment shrinkToFit="0" vertical="bottom" wrapText="0"/>
    </xf>
    <xf borderId="5" fillId="0" fontId="1" numFmtId="166" xfId="0" applyBorder="1" applyFont="1" applyNumberFormat="1"/>
    <xf borderId="0" fillId="0" fontId="11" numFmtId="0" xfId="0" applyAlignment="1" applyFont="1">
      <alignment vertical="bottom"/>
    </xf>
    <xf borderId="16" fillId="0" fontId="1" numFmtId="0" xfId="0" applyAlignment="1" applyBorder="1" applyFont="1">
      <alignment horizontal="center"/>
    </xf>
    <xf borderId="7" fillId="0" fontId="16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horizontal="center"/>
    </xf>
    <xf borderId="15" fillId="0" fontId="1" numFmtId="0" xfId="0" applyAlignment="1" applyBorder="1" applyFont="1">
      <alignment horizontal="center"/>
    </xf>
    <xf borderId="17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2" fillId="0" fontId="1" numFmtId="165" xfId="0" applyAlignment="1" applyBorder="1" applyFont="1" applyNumberFormat="1">
      <alignment horizontal="center" vertical="center"/>
    </xf>
    <xf borderId="2" fillId="0" fontId="1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10" fillId="0" fontId="1" numFmtId="4" xfId="0" applyAlignment="1" applyBorder="1" applyFont="1" applyNumberFormat="1">
      <alignment horizontal="center"/>
    </xf>
    <xf borderId="14" fillId="0" fontId="1" numFmtId="165" xfId="0" applyAlignment="1" applyBorder="1" applyFont="1" applyNumberFormat="1">
      <alignment horizontal="center" vertical="center"/>
    </xf>
    <xf borderId="14" fillId="0" fontId="1" numFmtId="2" xfId="0" applyAlignment="1" applyBorder="1" applyFont="1" applyNumberFormat="1">
      <alignment horizontal="center" vertical="center"/>
    </xf>
    <xf borderId="0" fillId="0" fontId="1" numFmtId="4" xfId="0" applyFont="1" applyNumberFormat="1"/>
    <xf borderId="0" fillId="3" fontId="1" numFmtId="4" xfId="0" applyFill="1" applyFont="1" applyNumberFormat="1"/>
    <xf borderId="7" fillId="0" fontId="1" numFmtId="165" xfId="0" applyAlignment="1" applyBorder="1" applyFont="1" applyNumberFormat="1">
      <alignment horizontal="center" vertical="center"/>
    </xf>
    <xf borderId="8" fillId="0" fontId="1" numFmtId="165" xfId="0" applyAlignment="1" applyBorder="1" applyFont="1" applyNumberFormat="1">
      <alignment horizontal="center" vertical="center"/>
    </xf>
    <xf borderId="7" fillId="0" fontId="1" numFmtId="2" xfId="0" applyAlignment="1" applyBorder="1" applyFont="1" applyNumberFormat="1">
      <alignment horizontal="center" vertical="center"/>
    </xf>
    <xf borderId="8" fillId="0" fontId="1" numFmtId="2" xfId="0" applyAlignment="1" applyBorder="1" applyFont="1" applyNumberFormat="1">
      <alignment horizontal="center" vertical="center"/>
    </xf>
    <xf borderId="0" fillId="0" fontId="1" numFmtId="4" xfId="0" applyAlignment="1" applyFont="1" applyNumberFormat="1">
      <alignment horizontal="center" readingOrder="0"/>
    </xf>
    <xf borderId="2" fillId="0" fontId="1" numFmtId="3" xfId="0" applyAlignment="1" applyBorder="1" applyFont="1" applyNumberFormat="1">
      <alignment horizontal="center" readingOrder="0"/>
    </xf>
    <xf borderId="3" fillId="0" fontId="1" numFmtId="3" xfId="0" applyAlignment="1" applyBorder="1" applyFont="1" applyNumberFormat="1">
      <alignment horizontal="center" readingOrder="0"/>
    </xf>
    <xf borderId="0" fillId="0" fontId="17" numFmtId="0" xfId="0" applyAlignment="1" applyFont="1">
      <alignment readingOrder="0"/>
    </xf>
    <xf borderId="11" fillId="0" fontId="1" numFmtId="2" xfId="0" applyAlignment="1" applyBorder="1" applyFont="1" applyNumberFormat="1">
      <alignment horizontal="center" readingOrder="0" vertical="center"/>
    </xf>
    <xf borderId="12" fillId="0" fontId="1" numFmtId="2" xfId="0" applyAlignment="1" applyBorder="1" applyFont="1" applyNumberFormat="1">
      <alignment horizontal="center" vertical="center"/>
    </xf>
    <xf borderId="18" fillId="0" fontId="1" numFmtId="4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 readingOrder="0" vertical="center"/>
    </xf>
    <xf borderId="16" fillId="0" fontId="1" numFmtId="2" xfId="0" applyAlignment="1" applyBorder="1" applyFont="1" applyNumberFormat="1">
      <alignment horizontal="center" readingOrder="0" vertical="center"/>
    </xf>
    <xf borderId="7" fillId="0" fontId="1" numFmtId="4" xfId="0" applyAlignment="1" applyBorder="1" applyFont="1" applyNumberFormat="1">
      <alignment horizontal="center" vertical="center"/>
    </xf>
    <xf borderId="8" fillId="0" fontId="1" numFmtId="4" xfId="0" applyAlignment="1" applyBorder="1" applyFont="1" applyNumberFormat="1">
      <alignment horizontal="center" vertical="center"/>
    </xf>
    <xf borderId="6" fillId="0" fontId="1" numFmtId="0" xfId="0" applyBorder="1" applyFont="1"/>
    <xf borderId="7" fillId="0" fontId="1" numFmtId="166" xfId="0" applyBorder="1" applyFont="1" applyNumberFormat="1"/>
    <xf borderId="0" fillId="3" fontId="1" numFmtId="0" xfId="0" applyFill="1" applyFont="1"/>
    <xf borderId="0" fillId="3" fontId="8" numFmtId="0" xfId="0" applyFill="1" applyFont="1"/>
    <xf borderId="8" fillId="0" fontId="1" numFmtId="166" xfId="0" applyBorder="1" applyFont="1" applyNumberFormat="1"/>
    <xf borderId="0" fillId="4" fontId="1" numFmtId="0" xfId="0" applyFill="1" applyFont="1"/>
    <xf borderId="0" fillId="4" fontId="8" numFmtId="0" xfId="0" applyFill="1" applyFont="1"/>
    <xf borderId="0" fillId="4" fontId="1" numFmtId="0" xfId="0" applyFill="1" applyFont="1"/>
    <xf borderId="19" fillId="0" fontId="11" numFmtId="0" xfId="0" applyAlignment="1" applyBorder="1" applyFont="1">
      <alignment horizontal="center" vertical="bottom"/>
    </xf>
    <xf borderId="2" fillId="0" fontId="13" numFmtId="0" xfId="0" applyBorder="1" applyFont="1"/>
    <xf borderId="3" fillId="0" fontId="13" numFmtId="0" xfId="0" applyBorder="1" applyFont="1"/>
    <xf borderId="1" fillId="5" fontId="11" numFmtId="0" xfId="0" applyAlignment="1" applyBorder="1" applyFill="1" applyFont="1">
      <alignment horizontal="center" readingOrder="0" vertical="bottom"/>
    </xf>
    <xf borderId="7" fillId="6" fontId="11" numFmtId="0" xfId="0" applyAlignment="1" applyBorder="1" applyFill="1" applyFont="1">
      <alignment horizontal="center" readingOrder="0" vertical="bottom"/>
    </xf>
    <xf borderId="1" fillId="7" fontId="11" numFmtId="0" xfId="0" applyAlignment="1" applyBorder="1" applyFill="1" applyFont="1">
      <alignment horizontal="center" readingOrder="0" vertical="bottom"/>
    </xf>
    <xf borderId="15" fillId="0" fontId="1" numFmtId="2" xfId="0" applyAlignment="1" applyBorder="1" applyFont="1" applyNumberFormat="1">
      <alignment horizontal="center" readingOrder="0" vertical="center"/>
    </xf>
    <xf borderId="5" fillId="0" fontId="1" numFmtId="4" xfId="0" applyAlignment="1" applyBorder="1" applyFont="1" applyNumberFormat="1">
      <alignment horizontal="center"/>
    </xf>
    <xf borderId="7" fillId="0" fontId="1" numFmtId="4" xfId="0" applyAlignment="1" applyBorder="1" applyFont="1" applyNumberFormat="1">
      <alignment horizontal="center"/>
    </xf>
    <xf borderId="0" fillId="8" fontId="2" numFmtId="0" xfId="0" applyAlignment="1" applyFill="1" applyFont="1">
      <alignment readingOrder="0"/>
    </xf>
    <xf borderId="7" fillId="0" fontId="1" numFmtId="0" xfId="0" applyBorder="1" applyFont="1"/>
    <xf borderId="8" fillId="0" fontId="1" numFmtId="0" xfId="0" applyBorder="1" applyFont="1"/>
    <xf borderId="8" fillId="0" fontId="1" numFmtId="4" xfId="0" applyAlignment="1" applyBorder="1" applyFont="1" applyNumberFormat="1">
      <alignment horizontal="center"/>
    </xf>
    <xf borderId="0" fillId="0" fontId="8" numFmtId="0" xfId="0" applyFont="1"/>
    <xf borderId="11" fillId="6" fontId="1" numFmtId="4" xfId="0" applyBorder="1" applyFill="1" applyFont="1" applyNumberFormat="1"/>
    <xf borderId="14" fillId="7" fontId="1" numFmtId="4" xfId="0" applyBorder="1" applyFill="1" applyFont="1" applyNumberFormat="1"/>
    <xf borderId="0" fillId="3" fontId="2" numFmtId="0" xfId="0" applyAlignment="1" applyFill="1" applyFont="1">
      <alignment readingOrder="0"/>
    </xf>
    <xf borderId="12" fillId="7" fontId="1" numFmtId="4" xfId="0" applyBorder="1" applyFill="1" applyFont="1" applyNumberFormat="1"/>
    <xf borderId="0" fillId="3" fontId="18" numFmtId="0" xfId="0" applyAlignment="1" applyFill="1" applyFont="1">
      <alignment readingOrder="0"/>
    </xf>
    <xf borderId="0" fillId="3" fontId="2" numFmtId="0" xfId="0" applyFill="1" applyFont="1"/>
    <xf borderId="16" fillId="5" fontId="1" numFmtId="4" xfId="0" applyBorder="1" applyFill="1" applyFont="1" applyNumberFormat="1"/>
    <xf borderId="0" fillId="6" fontId="1" numFmtId="4" xfId="0" applyFill="1" applyFont="1" applyNumberFormat="1"/>
    <xf borderId="0" fillId="7" fontId="1" numFmtId="4" xfId="0" applyFill="1" applyFont="1" applyNumberFormat="1"/>
    <xf borderId="5" fillId="7" fontId="1" numFmtId="4" xfId="0" applyBorder="1" applyFill="1" applyFont="1" applyNumberFormat="1"/>
    <xf borderId="0" fillId="5" fontId="1" numFmtId="4" xfId="0" applyFill="1" applyFont="1" applyNumberFormat="1"/>
    <xf borderId="19" fillId="0" fontId="11" numFmtId="0" xfId="0" applyAlignment="1" applyBorder="1" applyFont="1">
      <alignment horizontal="center" readingOrder="0" vertical="bottom"/>
    </xf>
    <xf borderId="10" fillId="0" fontId="1" numFmtId="165" xfId="0" applyAlignment="1" applyBorder="1" applyFont="1" applyNumberFormat="1">
      <alignment horizontal="center"/>
    </xf>
    <xf borderId="18" fillId="0" fontId="1" numFmtId="165" xfId="0" applyAlignment="1" applyBorder="1" applyFont="1" applyNumberFormat="1">
      <alignment horizontal="center"/>
    </xf>
    <xf borderId="11" fillId="0" fontId="2" numFmtId="0" xfId="0" applyAlignment="1" applyBorder="1" applyFont="1">
      <alignment horizontal="center" readingOrder="0" vertical="center"/>
    </xf>
    <xf borderId="11" fillId="0" fontId="11" numFmtId="0" xfId="0" applyAlignment="1" applyBorder="1" applyFont="1">
      <alignment horizontal="center" readingOrder="0" vertical="bottom"/>
    </xf>
    <xf borderId="14" fillId="0" fontId="13" numFmtId="0" xfId="0" applyBorder="1" applyFont="1"/>
    <xf borderId="11" fillId="0" fontId="1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vertical="center"/>
    </xf>
    <xf borderId="16" fillId="0" fontId="11" numFmtId="0" xfId="0" applyAlignment="1" applyBorder="1" applyFont="1">
      <alignment horizontal="center" readingOrder="0" vertical="bottom"/>
    </xf>
    <xf borderId="7" fillId="0" fontId="11" numFmtId="0" xfId="0" applyAlignment="1" applyBorder="1" applyFont="1">
      <alignment horizontal="center" readingOrder="0" vertical="bottom"/>
    </xf>
    <xf borderId="0" fillId="0" fontId="11" numFmtId="0" xfId="0" applyAlignment="1" applyFont="1">
      <alignment horizontal="center" readingOrder="0" vertical="bottom"/>
    </xf>
    <xf borderId="11" fillId="0" fontId="11" numFmtId="0" xfId="0" applyAlignment="1" applyBorder="1" applyFont="1">
      <alignment readingOrder="0" shrinkToFit="0" vertical="center" wrapText="1"/>
    </xf>
    <xf borderId="5" fillId="0" fontId="11" numFmtId="0" xfId="0" applyAlignment="1" applyBorder="1" applyFont="1">
      <alignment horizontal="center" vertical="bottom"/>
    </xf>
    <xf borderId="15" fillId="5" fontId="1" numFmtId="4" xfId="0" applyBorder="1" applyFill="1" applyFont="1" applyNumberFormat="1"/>
    <xf borderId="15" fillId="0" fontId="11" numFmtId="0" xfId="0" applyAlignment="1" applyBorder="1" applyFont="1">
      <alignment horizontal="center" readingOrder="0" vertical="bottom"/>
    </xf>
    <xf borderId="15" fillId="0" fontId="13" numFmtId="0" xfId="0" applyBorder="1" applyFont="1"/>
    <xf borderId="7" fillId="5" fontId="1" numFmtId="4" xfId="0" applyBorder="1" applyFill="1" applyFont="1" applyNumberFormat="1"/>
    <xf borderId="7" fillId="0" fontId="13" numFmtId="0" xfId="0" applyBorder="1" applyFont="1"/>
    <xf borderId="8" fillId="0" fontId="11" numFmtId="0" xfId="0" applyAlignment="1" applyBorder="1" applyFont="1">
      <alignment horizontal="center" vertical="bottom"/>
    </xf>
    <xf borderId="8" fillId="0" fontId="13" numFmtId="0" xfId="0" applyBorder="1" applyFont="1"/>
    <xf borderId="16" fillId="0" fontId="11" numFmtId="0" xfId="0" applyAlignment="1" applyBorder="1" applyFont="1">
      <alignment vertical="bottom"/>
    </xf>
    <xf borderId="5" fillId="0" fontId="13" numFmtId="0" xfId="0" applyBorder="1" applyFont="1"/>
    <xf borderId="16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readingOrder="0"/>
    </xf>
    <xf borderId="15" fillId="6" fontId="11" numFmtId="0" xfId="0" applyAlignment="1" applyBorder="1" applyFill="1" applyFont="1">
      <alignment horizontal="center" readingOrder="0" vertical="bottom"/>
    </xf>
    <xf borderId="8" fillId="6" fontId="1" numFmtId="4" xfId="0" applyBorder="1" applyFill="1" applyFont="1" applyNumberFormat="1"/>
    <xf borderId="14" fillId="0" fontId="1" numFmtId="0" xfId="0" applyAlignment="1" applyBorder="1" applyFont="1">
      <alignment readingOrder="0"/>
    </xf>
    <xf borderId="15" fillId="0" fontId="11" numFmtId="0" xfId="0" applyAlignment="1" applyBorder="1" applyFont="1">
      <alignment vertical="bottom"/>
    </xf>
    <xf borderId="11" fillId="0" fontId="1" numFmtId="0" xfId="0" applyBorder="1" applyFont="1"/>
    <xf borderId="14" fillId="0" fontId="1" numFmtId="0" xfId="0" applyBorder="1" applyFont="1"/>
    <xf borderId="13" fillId="5" fontId="11" numFmtId="0" xfId="0" applyAlignment="1" applyBorder="1" applyFill="1" applyFont="1">
      <alignment horizontal="center" vertical="bottom"/>
    </xf>
    <xf borderId="13" fillId="6" fontId="11" numFmtId="0" xfId="0" applyAlignment="1" applyBorder="1" applyFill="1" applyFont="1">
      <alignment horizontal="center" vertical="bottom"/>
    </xf>
    <xf borderId="13" fillId="7" fontId="11" numFmtId="0" xfId="0" applyAlignment="1" applyBorder="1" applyFill="1" applyFont="1">
      <alignment horizontal="center" vertical="bottom"/>
    </xf>
    <xf borderId="7" fillId="0" fontId="1" numFmtId="0" xfId="0" applyAlignment="1" applyBorder="1" applyFont="1">
      <alignment horizontal="center" readingOrder="0" vertical="center"/>
    </xf>
    <xf borderId="12" fillId="0" fontId="1" numFmtId="0" xfId="0" applyBorder="1" applyFont="1"/>
    <xf borderId="8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/>
    </xf>
    <xf borderId="19" fillId="0" fontId="11" numFmtId="10" xfId="0" applyAlignment="1" applyBorder="1" applyFont="1" applyNumberFormat="1">
      <alignment readingOrder="0" vertical="bottom"/>
    </xf>
    <xf borderId="0" fillId="0" fontId="1" numFmtId="165" xfId="0" applyAlignment="1" applyFont="1" applyNumberFormat="1">
      <alignment horizontal="center" vertical="center"/>
    </xf>
    <xf borderId="2" fillId="0" fontId="11" numFmtId="10" xfId="0" applyAlignment="1" applyBorder="1" applyFont="1" applyNumberFormat="1">
      <alignment vertical="bottom"/>
    </xf>
    <xf borderId="11" fillId="0" fontId="1" numFmtId="165" xfId="0" applyAlignment="1" applyBorder="1" applyFont="1" applyNumberFormat="1">
      <alignment horizontal="center" vertical="center"/>
    </xf>
    <xf borderId="14" fillId="0" fontId="11" numFmtId="0" xfId="0" applyAlignment="1" applyBorder="1" applyFont="1">
      <alignment horizontal="center" vertical="bottom"/>
    </xf>
    <xf borderId="12" fillId="0" fontId="1" numFmtId="165" xfId="0" applyAlignment="1" applyBorder="1" applyFont="1" applyNumberFormat="1">
      <alignment horizontal="center" vertical="center"/>
    </xf>
    <xf borderId="3" fillId="0" fontId="11" numFmtId="10" xfId="0" applyAlignment="1" applyBorder="1" applyFont="1" applyNumberFormat="1">
      <alignment vertical="bottom"/>
    </xf>
    <xf borderId="16" fillId="0" fontId="1" numFmtId="0" xfId="0" applyAlignment="1" applyBorder="1" applyFont="1">
      <alignment readingOrder="0"/>
    </xf>
    <xf borderId="16" fillId="0" fontId="1" numFmtId="0" xfId="0" applyBorder="1" applyFont="1"/>
    <xf borderId="1" fillId="5" fontId="11" numFmtId="0" xfId="0" applyAlignment="1" applyBorder="1" applyFill="1" applyFont="1">
      <alignment horizontal="center" vertical="bottom"/>
    </xf>
    <xf borderId="7" fillId="0" fontId="1" numFmtId="9" xfId="0" applyAlignment="1" applyBorder="1" applyFont="1" applyNumberFormat="1">
      <alignment horizontal="center"/>
    </xf>
    <xf borderId="1" fillId="6" fontId="11" numFmtId="0" xfId="0" applyAlignment="1" applyBorder="1" applyFill="1" applyFont="1">
      <alignment horizontal="center" vertical="bottom"/>
    </xf>
    <xf borderId="1" fillId="7" fontId="11" numFmtId="0" xfId="0" applyAlignment="1" applyBorder="1" applyFill="1" applyFont="1">
      <alignment horizontal="center" vertical="bottom"/>
    </xf>
    <xf borderId="5" fillId="0" fontId="1" numFmtId="0" xfId="0" applyBorder="1" applyFont="1"/>
    <xf borderId="8" fillId="0" fontId="1" numFmtId="9" xfId="0" applyAlignment="1" applyBorder="1" applyFont="1" applyNumberFormat="1">
      <alignment horizontal="center"/>
    </xf>
    <xf borderId="16" fillId="0" fontId="1" numFmtId="165" xfId="0" applyAlignment="1" applyBorder="1" applyFont="1" applyNumberFormat="1">
      <alignment horizontal="center" vertical="center"/>
    </xf>
    <xf borderId="0" fillId="7" fontId="1" numFmtId="166" xfId="0" applyFill="1" applyFont="1" applyNumberFormat="1"/>
    <xf borderId="5" fillId="7" fontId="1" numFmtId="166" xfId="0" applyBorder="1" applyFill="1" applyFont="1" applyNumberFormat="1"/>
    <xf borderId="0" fillId="6" fontId="1" numFmtId="166" xfId="0" applyFill="1" applyFont="1" applyNumberFormat="1"/>
    <xf borderId="16" fillId="0" fontId="1" numFmtId="0" xfId="0" applyAlignment="1" applyBorder="1" applyFont="1">
      <alignment horizontal="center" readingOrder="0"/>
    </xf>
    <xf borderId="0" fillId="7" fontId="1" numFmtId="0" xfId="0" applyFill="1" applyFont="1"/>
    <xf borderId="0" fillId="5" fontId="1" numFmtId="166" xfId="0" applyFill="1" applyFont="1" applyNumberFormat="1"/>
    <xf borderId="15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15" fillId="0" fontId="1" numFmtId="0" xfId="0" applyBorder="1" applyFont="1"/>
    <xf borderId="13" fillId="0" fontId="11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7" fillId="5" fontId="1" numFmtId="166" xfId="0" applyBorder="1" applyFill="1" applyFont="1" applyNumberFormat="1"/>
    <xf borderId="4" fillId="0" fontId="11" numFmtId="0" xfId="0" applyAlignment="1" applyBorder="1" applyFont="1">
      <alignment horizontal="right" vertical="bottom"/>
    </xf>
    <xf borderId="7" fillId="6" fontId="1" numFmtId="166" xfId="0" applyBorder="1" applyFill="1" applyFont="1" applyNumberFormat="1"/>
    <xf borderId="8" fillId="7" fontId="1" numFmtId="166" xfId="0" applyBorder="1" applyFill="1" applyFont="1" applyNumberFormat="1"/>
    <xf borderId="6" fillId="0" fontId="11" numFmtId="0" xfId="0" applyAlignment="1" applyBorder="1" applyFont="1">
      <alignment horizontal="right" vertical="bottom"/>
    </xf>
    <xf borderId="15" fillId="0" fontId="1" numFmtId="165" xfId="0" applyAlignment="1" applyBorder="1" applyFont="1" applyNumberFormat="1">
      <alignment horizontal="center" vertical="center"/>
    </xf>
    <xf borderId="7" fillId="0" fontId="11" numFmtId="0" xfId="0" applyAlignment="1" applyBorder="1" applyFont="1">
      <alignment vertical="bottom"/>
    </xf>
    <xf borderId="0" fillId="2" fontId="3" numFmtId="0" xfId="0" applyFill="1" applyFont="1"/>
    <xf borderId="0" fillId="2" fontId="19" numFmtId="0" xfId="0" applyAlignment="1" applyFill="1" applyFont="1">
      <alignment vertical="bottom"/>
    </xf>
    <xf borderId="0" fillId="2" fontId="19" numFmtId="0" xfId="0" applyAlignment="1" applyFill="1" applyFont="1">
      <alignment horizontal="center" vertical="bottom"/>
    </xf>
    <xf borderId="0" fillId="2" fontId="19" numFmtId="0" xfId="0" applyAlignment="1" applyFill="1" applyFont="1">
      <alignment horizontal="right" vertical="bottom"/>
    </xf>
    <xf borderId="1" fillId="0" fontId="11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1" fillId="0" fontId="11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right" vertical="bottom"/>
    </xf>
    <xf borderId="1" fillId="0" fontId="11" numFmtId="0" xfId="0" applyAlignment="1" applyBorder="1" applyFont="1">
      <alignment horizontal="right" readingOrder="0" vertical="bottom"/>
    </xf>
    <xf borderId="1" fillId="0" fontId="20" numFmtId="0" xfId="0" applyAlignment="1" applyBorder="1" applyFont="1">
      <alignment horizontal="right" vertical="bottom"/>
    </xf>
    <xf borderId="0" fillId="0" fontId="11" numFmtId="0" xfId="0" applyAlignment="1" applyFont="1">
      <alignment horizontal="right" readingOrder="0" vertical="bottom"/>
    </xf>
    <xf borderId="8" fillId="6" fontId="1" numFmtId="166" xfId="0" applyBorder="1" applyFill="1" applyFont="1" applyNumberFormat="1"/>
    <xf borderId="7" fillId="0" fontId="11" numFmtId="0" xfId="0" applyAlignment="1" applyBorder="1" applyFont="1">
      <alignment horizontal="right" readingOrder="0" vertical="bottom"/>
    </xf>
    <xf borderId="14" fillId="0" fontId="21" numFmtId="0" xfId="0" applyBorder="1" applyFont="1"/>
    <xf borderId="0" fillId="0" fontId="21" numFmtId="0" xfId="0" applyFont="1"/>
    <xf borderId="14" fillId="0" fontId="21" numFmtId="10" xfId="0" applyBorder="1" applyFont="1" applyNumberFormat="1"/>
    <xf borderId="14" fillId="0" fontId="22" numFmtId="0" xfId="0" applyBorder="1" applyFont="1"/>
    <xf borderId="0" fillId="0" fontId="23" numFmtId="0" xfId="0" applyFont="1"/>
    <xf borderId="0" fillId="0" fontId="23" numFmtId="2" xfId="0" applyFont="1" applyNumberFormat="1"/>
    <xf borderId="20" fillId="0" fontId="1" numFmtId="0" xfId="0" applyAlignment="1" applyBorder="1" applyFont="1">
      <alignment readingOrder="0"/>
    </xf>
    <xf borderId="21" fillId="0" fontId="1" numFmtId="0" xfId="0" applyBorder="1" applyFont="1"/>
    <xf borderId="22" fillId="0" fontId="1" numFmtId="0" xfId="0" applyBorder="1" applyFont="1"/>
    <xf borderId="23" fillId="0" fontId="1" numFmtId="0" xfId="0" applyBorder="1" applyFont="1"/>
    <xf borderId="24" fillId="0" fontId="1" numFmtId="0" xfId="0" applyAlignment="1" applyBorder="1" applyFont="1">
      <alignment readingOrder="0"/>
    </xf>
    <xf borderId="11" fillId="0" fontId="11" numFmtId="166" xfId="0" applyAlignment="1" applyBorder="1" applyFont="1" applyNumberFormat="1">
      <alignment horizontal="right" vertical="bottom"/>
    </xf>
    <xf borderId="14" fillId="0" fontId="11" numFmtId="166" xfId="0" applyAlignment="1" applyBorder="1" applyFont="1" applyNumberFormat="1">
      <alignment horizontal="right" vertical="bottom"/>
    </xf>
    <xf borderId="12" fillId="0" fontId="11" numFmtId="166" xfId="0" applyAlignment="1" applyBorder="1" applyFont="1" applyNumberFormat="1">
      <alignment horizontal="right" vertical="bottom"/>
    </xf>
    <xf borderId="14" fillId="0" fontId="11" numFmtId="166" xfId="0" applyAlignment="1" applyBorder="1" applyFont="1" applyNumberFormat="1">
      <alignment vertical="bottom"/>
    </xf>
    <xf borderId="25" fillId="0" fontId="11" numFmtId="166" xfId="0" applyAlignment="1" applyBorder="1" applyFont="1" applyNumberFormat="1">
      <alignment vertical="bottom"/>
    </xf>
    <xf borderId="16" fillId="0" fontId="11" numFmtId="166" xfId="0" applyAlignment="1" applyBorder="1" applyFont="1" applyNumberFormat="1">
      <alignment horizontal="right" vertical="bottom"/>
    </xf>
    <xf borderId="0" fillId="0" fontId="11" numFmtId="166" xfId="0" applyAlignment="1" applyFont="1" applyNumberFormat="1">
      <alignment horizontal="right" vertical="bottom"/>
    </xf>
    <xf borderId="5" fillId="0" fontId="11" numFmtId="166" xfId="0" applyAlignment="1" applyBorder="1" applyFont="1" applyNumberFormat="1">
      <alignment horizontal="right" vertical="bottom"/>
    </xf>
    <xf borderId="0" fillId="0" fontId="1" numFmtId="9" xfId="0" applyAlignment="1" applyFont="1" applyNumberFormat="1">
      <alignment readingOrder="0"/>
    </xf>
    <xf borderId="0" fillId="0" fontId="11" numFmtId="166" xfId="0" applyAlignment="1" applyFont="1" applyNumberFormat="1">
      <alignment vertical="bottom"/>
    </xf>
    <xf borderId="26" fillId="0" fontId="11" numFmtId="166" xfId="0" applyAlignment="1" applyBorder="1" applyFont="1" applyNumberFormat="1">
      <alignment vertical="bottom"/>
    </xf>
    <xf borderId="19" fillId="0" fontId="11" numFmtId="0" xfId="0" applyAlignment="1" applyBorder="1" applyFont="1">
      <alignment horizontal="center" vertical="bottom"/>
    </xf>
    <xf borderId="0" fillId="0" fontId="11" numFmtId="4" xfId="0" applyAlignment="1" applyFont="1" applyNumberFormat="1">
      <alignment horizontal="right" vertical="bottom"/>
    </xf>
    <xf borderId="1" fillId="0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readingOrder="0" vertical="bottom"/>
    </xf>
    <xf borderId="27" fillId="0" fontId="1" numFmtId="0" xfId="0" applyAlignment="1" applyBorder="1" applyFont="1">
      <alignment readingOrder="0"/>
    </xf>
    <xf borderId="15" fillId="0" fontId="11" numFmtId="166" xfId="0" applyAlignment="1" applyBorder="1" applyFont="1" applyNumberFormat="1">
      <alignment horizontal="right" vertical="bottom"/>
    </xf>
    <xf borderId="7" fillId="0" fontId="11" numFmtId="166" xfId="0" applyAlignment="1" applyBorder="1" applyFont="1" applyNumberFormat="1">
      <alignment horizontal="right" vertical="bottom"/>
    </xf>
    <xf borderId="4" fillId="0" fontId="1" numFmtId="2" xfId="0" applyAlignment="1" applyBorder="1" applyFont="1" applyNumberFormat="1">
      <alignment horizontal="center" readingOrder="0"/>
    </xf>
    <xf borderId="8" fillId="0" fontId="11" numFmtId="166" xfId="0" applyAlignment="1" applyBorder="1" applyFont="1" applyNumberFormat="1">
      <alignment horizontal="right" vertical="bottom"/>
    </xf>
    <xf borderId="28" fillId="0" fontId="1" numFmtId="0" xfId="0" applyAlignment="1" applyBorder="1" applyFont="1">
      <alignment readingOrder="0"/>
    </xf>
    <xf borderId="29" fillId="0" fontId="11" numFmtId="166" xfId="0" applyAlignment="1" applyBorder="1" applyFont="1" applyNumberFormat="1">
      <alignment vertical="bottom"/>
    </xf>
    <xf borderId="30" fillId="0" fontId="11" numFmtId="166" xfId="0" applyAlignment="1" applyBorder="1" applyFont="1" applyNumberFormat="1">
      <alignment vertical="bottom"/>
    </xf>
    <xf borderId="31" fillId="0" fontId="11" numFmtId="166" xfId="0" applyAlignment="1" applyBorder="1" applyFont="1" applyNumberFormat="1">
      <alignment vertical="bottom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readingOrder="0" vertical="center"/>
    </xf>
    <xf borderId="0" fillId="0" fontId="1" numFmtId="2" xfId="0" applyAlignment="1" applyFont="1" applyNumberFormat="1">
      <alignment horizontal="center" readingOrder="0"/>
    </xf>
    <xf borderId="5" fillId="0" fontId="1" numFmtId="2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vertical="center"/>
    </xf>
    <xf borderId="0" fillId="0" fontId="1" numFmtId="2" xfId="0" applyAlignment="1" applyFont="1" applyNumberFormat="1">
      <alignment horizontal="center"/>
    </xf>
    <xf borderId="5" fillId="0" fontId="1" numFmtId="1" xfId="0" applyAlignment="1" applyBorder="1" applyFont="1" applyNumberFormat="1">
      <alignment horizontal="center"/>
    </xf>
    <xf borderId="5" fillId="0" fontId="1" numFmtId="10" xfId="0" applyAlignment="1" applyBorder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0" fillId="0" fontId="1" numFmtId="1" xfId="0" applyFont="1" applyNumberFormat="1"/>
    <xf borderId="0" fillId="0" fontId="1" numFmtId="9" xfId="0" applyFont="1" applyNumberFormat="1"/>
    <xf borderId="0" fillId="0" fontId="1" numFmtId="1" xfId="0" applyAlignment="1" applyFont="1" applyNumberFormat="1">
      <alignment horizontal="center"/>
    </xf>
    <xf borderId="7" fillId="0" fontId="1" numFmtId="2" xfId="0" applyAlignment="1" applyBorder="1" applyFont="1" applyNumberFormat="1">
      <alignment horizontal="center" readingOrder="0"/>
    </xf>
    <xf borderId="8" fillId="0" fontId="1" numFmtId="2" xfId="0" applyAlignment="1" applyBorder="1" applyFont="1" applyNumberFormat="1">
      <alignment horizontal="center" readingOrder="0"/>
    </xf>
    <xf borderId="0" fillId="0" fontId="1" numFmtId="2" xfId="0" applyFont="1" applyNumberFormat="1"/>
    <xf borderId="7" fillId="0" fontId="1" numFmtId="2" xfId="0" applyAlignment="1" applyBorder="1" applyFont="1" applyNumberFormat="1">
      <alignment horizontal="center"/>
    </xf>
    <xf borderId="8" fillId="0" fontId="1" numFmtId="1" xfId="0" applyAlignment="1" applyBorder="1" applyFont="1" applyNumberFormat="1">
      <alignment horizontal="center"/>
    </xf>
    <xf borderId="0" fillId="0" fontId="1" numFmtId="10" xfId="0" applyAlignment="1" applyFont="1" applyNumberFormat="1">
      <alignment readingOrder="0"/>
    </xf>
    <xf borderId="0" fillId="0" fontId="1" numFmtId="10" xfId="0" applyAlignment="1" applyFont="1" applyNumberFormat="1">
      <alignment horizontal="center" readingOrder="0"/>
    </xf>
    <xf borderId="5" fillId="0" fontId="1" numFmtId="10" xfId="0" applyAlignment="1" applyBorder="1" applyFont="1" applyNumberFormat="1">
      <alignment horizontal="center" readingOrder="0"/>
    </xf>
    <xf borderId="0" fillId="0" fontId="1" numFmtId="10" xfId="0" applyAlignment="1" applyFont="1" applyNumberFormat="1">
      <alignment horizontal="center"/>
    </xf>
    <xf borderId="7" fillId="0" fontId="1" numFmtId="10" xfId="0" applyAlignment="1" applyBorder="1" applyFont="1" applyNumberFormat="1">
      <alignment horizontal="center" readingOrder="0"/>
    </xf>
    <xf borderId="8" fillId="0" fontId="1" numFmtId="10" xfId="0" applyAlignment="1" applyBorder="1" applyFont="1" applyNumberFormat="1">
      <alignment horizontal="center" readingOrder="0"/>
    </xf>
    <xf borderId="5" fillId="0" fontId="1" numFmtId="2" xfId="0" applyAlignment="1" applyBorder="1" applyFont="1" applyNumberFormat="1">
      <alignment horizontal="center"/>
    </xf>
    <xf borderId="8" fillId="0" fontId="1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381000</xdr:colOff>
      <xdr:row>28</xdr:row>
      <xdr:rowOff>152400</xdr:rowOff>
    </xdr:from>
    <xdr:ext cx="2971800" cy="2381250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ZE_5dy7X4DX92crzCNIFQcTXJ_gjO3TdCKopfl7HynI/edit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g4Q8L1pcUEPWC9kuPR3gsBI33M7Jxaqhzf92N3NmlEQ/edit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ZE_5dy7X4DX92crzCNIFQcTXJ_gjO3TdCKopfl7HynI/edit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4" max="4" width="40.25"/>
  </cols>
  <sheetData>
    <row r="5">
      <c r="C5" s="1" t="s">
        <v>0</v>
      </c>
      <c r="D5" s="1" t="s">
        <v>4</v>
      </c>
    </row>
    <row r="6">
      <c r="B6" s="1">
        <v>1.0</v>
      </c>
      <c r="C6" s="1" t="s">
        <v>5</v>
      </c>
      <c r="D6" s="1" t="s">
        <v>6</v>
      </c>
    </row>
    <row r="7">
      <c r="B7" s="1">
        <v>2.0</v>
      </c>
      <c r="C7" s="1" t="s">
        <v>7</v>
      </c>
      <c r="D7" s="1" t="s">
        <v>8</v>
      </c>
    </row>
    <row r="8">
      <c r="D8" s="1" t="s">
        <v>9</v>
      </c>
    </row>
    <row r="9">
      <c r="B9" s="1">
        <v>3.0</v>
      </c>
      <c r="C9" s="1" t="s">
        <v>10</v>
      </c>
      <c r="D9" s="1" t="s">
        <v>11</v>
      </c>
    </row>
    <row r="10">
      <c r="B10" s="1">
        <v>4.0</v>
      </c>
      <c r="C10" s="1" t="s">
        <v>13</v>
      </c>
      <c r="D10" s="1" t="s">
        <v>14</v>
      </c>
    </row>
    <row r="11">
      <c r="C11" s="1" t="s">
        <v>15</v>
      </c>
    </row>
    <row r="12">
      <c r="C12" s="7" t="s">
        <v>17</v>
      </c>
    </row>
    <row r="13">
      <c r="C13" s="7" t="s">
        <v>18</v>
      </c>
    </row>
    <row r="14">
      <c r="C14" s="7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</cols>
  <sheetData>
    <row r="2">
      <c r="B2" s="4" t="s">
        <v>1</v>
      </c>
    </row>
    <row r="4">
      <c r="B4" s="6" t="s">
        <v>16</v>
      </c>
    </row>
    <row r="5">
      <c r="B5" s="9"/>
    </row>
    <row r="6">
      <c r="B6" s="11" t="s">
        <v>20</v>
      </c>
    </row>
    <row r="7">
      <c r="B7" s="1" t="s">
        <v>21</v>
      </c>
    </row>
    <row r="8">
      <c r="B8" s="11" t="s">
        <v>23</v>
      </c>
    </row>
    <row r="9">
      <c r="B9" s="1" t="s">
        <v>24</v>
      </c>
    </row>
    <row r="10">
      <c r="B10" s="1" t="s">
        <v>25</v>
      </c>
    </row>
    <row r="11">
      <c r="B11" s="1" t="s">
        <v>26</v>
      </c>
    </row>
    <row r="12">
      <c r="B12" s="1" t="s">
        <v>28</v>
      </c>
    </row>
    <row r="13">
      <c r="B13" s="1" t="s">
        <v>29</v>
      </c>
    </row>
    <row r="14">
      <c r="B14" s="1" t="s">
        <v>30</v>
      </c>
    </row>
    <row r="15">
      <c r="B15" s="11" t="s">
        <v>32</v>
      </c>
    </row>
    <row r="16">
      <c r="B16" s="1" t="s">
        <v>33</v>
      </c>
    </row>
    <row r="17">
      <c r="B17" s="1" t="s">
        <v>35</v>
      </c>
    </row>
    <row r="18">
      <c r="B18" s="11" t="s">
        <v>36</v>
      </c>
    </row>
    <row r="19">
      <c r="B19" s="1" t="s">
        <v>37</v>
      </c>
    </row>
    <row r="21">
      <c r="B21" s="17"/>
    </row>
    <row r="22">
      <c r="B22" s="19"/>
    </row>
    <row r="23">
      <c r="B23" s="19"/>
    </row>
    <row r="24">
      <c r="B24" s="19"/>
    </row>
    <row r="25">
      <c r="B25" s="17"/>
    </row>
    <row r="26">
      <c r="B26" s="19"/>
    </row>
    <row r="27">
      <c r="B27" s="19"/>
    </row>
    <row r="28">
      <c r="B28" s="17"/>
    </row>
    <row r="29">
      <c r="B29" s="19"/>
    </row>
    <row r="30">
      <c r="B30" s="19"/>
    </row>
    <row r="31">
      <c r="B31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</cols>
  <sheetData>
    <row r="1">
      <c r="A1" s="2" t="s">
        <v>2</v>
      </c>
    </row>
    <row r="2">
      <c r="F2" s="3"/>
      <c r="G2" s="3"/>
      <c r="H2" s="3"/>
      <c r="I2" s="3"/>
      <c r="J2" s="3"/>
      <c r="K2" s="3"/>
    </row>
    <row r="3">
      <c r="B3" s="5" t="s">
        <v>12</v>
      </c>
      <c r="C3" s="8"/>
      <c r="D3" s="8"/>
      <c r="E3" s="8"/>
      <c r="F3" s="3"/>
      <c r="G3" s="10"/>
      <c r="H3" s="12"/>
      <c r="I3" s="12"/>
      <c r="J3" s="12"/>
      <c r="K3" s="3"/>
    </row>
    <row r="4">
      <c r="B4" s="13" t="s">
        <v>22</v>
      </c>
      <c r="C4" s="14" t="s">
        <v>27</v>
      </c>
      <c r="D4" s="15" t="s">
        <v>31</v>
      </c>
      <c r="E4" s="15" t="s">
        <v>34</v>
      </c>
      <c r="F4" s="3"/>
      <c r="G4" s="10"/>
      <c r="H4" s="12" t="s">
        <v>27</v>
      </c>
      <c r="I4" s="12" t="s">
        <v>31</v>
      </c>
      <c r="J4" s="12" t="s">
        <v>34</v>
      </c>
      <c r="K4" s="3"/>
    </row>
    <row r="5">
      <c r="B5" s="16">
        <v>1.0</v>
      </c>
      <c r="C5" s="8">
        <v>1.0</v>
      </c>
      <c r="D5" s="18">
        <v>2.0</v>
      </c>
      <c r="E5" s="20">
        <f t="shared" ref="E5:E14" si="2">C5+D5</f>
        <v>3</v>
      </c>
      <c r="F5" s="3"/>
      <c r="G5" s="12">
        <v>1.0</v>
      </c>
      <c r="H5" s="12">
        <f t="shared" ref="H5:J5" si="1">C5</f>
        <v>1</v>
      </c>
      <c r="I5" s="12">
        <f t="shared" si="1"/>
        <v>2</v>
      </c>
      <c r="J5" s="12">
        <f t="shared" si="1"/>
        <v>3</v>
      </c>
      <c r="K5" s="3"/>
    </row>
    <row r="6">
      <c r="B6" s="16">
        <v>2.0</v>
      </c>
      <c r="C6" s="8">
        <v>4.0</v>
      </c>
      <c r="D6" s="18">
        <v>1.0</v>
      </c>
      <c r="E6" s="20">
        <f t="shared" si="2"/>
        <v>5</v>
      </c>
      <c r="F6" s="3"/>
      <c r="G6" s="12">
        <v>2.0</v>
      </c>
      <c r="H6" s="12">
        <f t="shared" ref="H6:J6" si="3">C6</f>
        <v>4</v>
      </c>
      <c r="I6" s="12">
        <f t="shared" si="3"/>
        <v>1</v>
      </c>
      <c r="J6" s="12">
        <f t="shared" si="3"/>
        <v>5</v>
      </c>
      <c r="K6" s="3"/>
    </row>
    <row r="7">
      <c r="B7" s="16">
        <v>3.0</v>
      </c>
      <c r="C7" s="8">
        <v>1.0</v>
      </c>
      <c r="D7" s="18">
        <v>2.0</v>
      </c>
      <c r="E7" s="20">
        <f t="shared" si="2"/>
        <v>3</v>
      </c>
      <c r="F7" s="3"/>
      <c r="G7" s="12">
        <v>3.0</v>
      </c>
      <c r="H7" s="12">
        <f t="shared" ref="H7:J7" si="4">C7</f>
        <v>1</v>
      </c>
      <c r="I7" s="12">
        <f t="shared" si="4"/>
        <v>2</v>
      </c>
      <c r="J7" s="12">
        <f t="shared" si="4"/>
        <v>3</v>
      </c>
      <c r="K7" s="3"/>
    </row>
    <row r="8">
      <c r="B8" s="16">
        <v>4.0</v>
      </c>
      <c r="C8" s="8">
        <v>1.0</v>
      </c>
      <c r="D8" s="18">
        <v>1.0</v>
      </c>
      <c r="E8" s="20">
        <f t="shared" si="2"/>
        <v>2</v>
      </c>
      <c r="F8" s="3"/>
      <c r="G8" s="12">
        <v>4.0</v>
      </c>
      <c r="H8" s="12">
        <f t="shared" ref="H8:J8" si="5">C8</f>
        <v>1</v>
      </c>
      <c r="I8" s="12">
        <f t="shared" si="5"/>
        <v>1</v>
      </c>
      <c r="J8" s="12">
        <f t="shared" si="5"/>
        <v>2</v>
      </c>
      <c r="K8" s="3"/>
    </row>
    <row r="9">
      <c r="B9" s="16">
        <v>5.0</v>
      </c>
      <c r="C9" s="8">
        <v>2.0</v>
      </c>
      <c r="D9" s="18">
        <v>4.0</v>
      </c>
      <c r="E9" s="20">
        <f t="shared" si="2"/>
        <v>6</v>
      </c>
      <c r="F9" s="3"/>
      <c r="G9" s="12">
        <v>5.0</v>
      </c>
      <c r="H9" s="12">
        <f t="shared" ref="H9:J9" si="6">C9</f>
        <v>2</v>
      </c>
      <c r="I9" s="12">
        <f t="shared" si="6"/>
        <v>4</v>
      </c>
      <c r="J9" s="12">
        <f t="shared" si="6"/>
        <v>6</v>
      </c>
      <c r="K9" s="3"/>
    </row>
    <row r="10">
      <c r="B10" s="16">
        <v>6.0</v>
      </c>
      <c r="C10" s="8">
        <v>0.0</v>
      </c>
      <c r="D10" s="18">
        <v>1.0</v>
      </c>
      <c r="E10" s="20">
        <f t="shared" si="2"/>
        <v>1</v>
      </c>
      <c r="F10" s="3"/>
      <c r="G10" s="12">
        <v>6.0</v>
      </c>
      <c r="H10" s="12">
        <f t="shared" ref="H10:J10" si="7">C10</f>
        <v>0</v>
      </c>
      <c r="I10" s="12">
        <f t="shared" si="7"/>
        <v>1</v>
      </c>
      <c r="J10" s="12">
        <f t="shared" si="7"/>
        <v>1</v>
      </c>
      <c r="K10" s="3"/>
    </row>
    <row r="11">
      <c r="B11" s="16">
        <v>7.0</v>
      </c>
      <c r="C11" s="8">
        <v>2.0</v>
      </c>
      <c r="D11" s="18">
        <v>0.0</v>
      </c>
      <c r="E11" s="20">
        <f t="shared" si="2"/>
        <v>2</v>
      </c>
      <c r="F11" s="3"/>
      <c r="G11" s="12">
        <v>7.0</v>
      </c>
      <c r="H11" s="12">
        <f t="shared" ref="H11:J11" si="8">C11</f>
        <v>2</v>
      </c>
      <c r="I11" s="12">
        <f t="shared" si="8"/>
        <v>0</v>
      </c>
      <c r="J11" s="12">
        <f t="shared" si="8"/>
        <v>2</v>
      </c>
      <c r="K11" s="3"/>
    </row>
    <row r="12">
      <c r="B12" s="16">
        <v>8.0</v>
      </c>
      <c r="C12" s="8">
        <v>1.0</v>
      </c>
      <c r="D12" s="18">
        <v>0.0</v>
      </c>
      <c r="E12" s="20">
        <f t="shared" si="2"/>
        <v>1</v>
      </c>
      <c r="F12" s="3"/>
      <c r="G12" s="12">
        <v>8.0</v>
      </c>
      <c r="H12" s="12">
        <f t="shared" ref="H12:J12" si="9">C12</f>
        <v>1</v>
      </c>
      <c r="I12" s="12">
        <f t="shared" si="9"/>
        <v>0</v>
      </c>
      <c r="J12" s="12">
        <f t="shared" si="9"/>
        <v>1</v>
      </c>
      <c r="K12" s="3"/>
    </row>
    <row r="13">
      <c r="B13" s="16">
        <v>9.0</v>
      </c>
      <c r="C13" s="8">
        <v>0.0</v>
      </c>
      <c r="D13" s="18">
        <v>0.0</v>
      </c>
      <c r="E13" s="20">
        <f t="shared" si="2"/>
        <v>0</v>
      </c>
      <c r="F13" s="3"/>
      <c r="G13" s="12">
        <v>9.0</v>
      </c>
      <c r="H13" s="12">
        <f t="shared" ref="H13:J13" si="10">C13</f>
        <v>0</v>
      </c>
      <c r="I13" s="12">
        <f t="shared" si="10"/>
        <v>0</v>
      </c>
      <c r="J13" s="12">
        <f t="shared" si="10"/>
        <v>0</v>
      </c>
      <c r="K13" s="3"/>
    </row>
    <row r="14">
      <c r="B14" s="21">
        <v>10.0</v>
      </c>
      <c r="C14" s="22">
        <v>3.0</v>
      </c>
      <c r="D14" s="23">
        <v>1.0</v>
      </c>
      <c r="E14" s="24">
        <f t="shared" si="2"/>
        <v>4</v>
      </c>
      <c r="F14" s="3"/>
      <c r="G14" s="12">
        <v>10.0</v>
      </c>
      <c r="H14" s="12">
        <f t="shared" ref="H14:J14" si="11">C14</f>
        <v>3</v>
      </c>
      <c r="I14" s="12">
        <f t="shared" si="11"/>
        <v>1</v>
      </c>
      <c r="J14" s="12">
        <f t="shared" si="11"/>
        <v>4</v>
      </c>
      <c r="K14" s="3"/>
    </row>
    <row r="15">
      <c r="F15" s="3"/>
      <c r="G15" s="27" t="s">
        <v>39</v>
      </c>
      <c r="H15" s="3">
        <f t="shared" ref="H15:J15" si="12">sum(H5:H14)</f>
        <v>15</v>
      </c>
      <c r="I15" s="3">
        <f t="shared" si="12"/>
        <v>12</v>
      </c>
      <c r="J15" s="3">
        <f t="shared" si="12"/>
        <v>27</v>
      </c>
      <c r="K15" s="3"/>
    </row>
    <row r="16">
      <c r="B16" s="5" t="s">
        <v>40</v>
      </c>
      <c r="F16" s="3"/>
      <c r="G16" s="3"/>
      <c r="H16" s="29"/>
      <c r="I16" s="29"/>
      <c r="J16" s="29"/>
      <c r="K16" s="29"/>
      <c r="L16" s="31"/>
      <c r="M16" s="31"/>
      <c r="N16" s="31"/>
    </row>
    <row r="17">
      <c r="B17" s="13"/>
      <c r="C17" s="14" t="s">
        <v>27</v>
      </c>
      <c r="D17" s="15" t="s">
        <v>31</v>
      </c>
      <c r="F17" s="3"/>
      <c r="G17" s="3"/>
      <c r="H17" s="32"/>
      <c r="I17" s="32"/>
      <c r="J17" s="32"/>
      <c r="K17" s="32"/>
      <c r="L17" s="33"/>
      <c r="M17" s="33"/>
      <c r="N17" s="33"/>
    </row>
    <row r="18">
      <c r="B18" s="21" t="s">
        <v>42</v>
      </c>
      <c r="C18" s="22">
        <f t="shared" ref="C18:D18" si="13">AVERAGE(C5:C14)</f>
        <v>1.5</v>
      </c>
      <c r="D18" s="23">
        <f t="shared" si="13"/>
        <v>1.2</v>
      </c>
      <c r="F18" s="3"/>
      <c r="G18" s="3"/>
      <c r="H18" s="3"/>
      <c r="I18" s="3"/>
      <c r="J18" s="3"/>
      <c r="K18" s="3"/>
    </row>
    <row r="19">
      <c r="B19" s="35"/>
      <c r="C19" s="35"/>
      <c r="D19" s="35"/>
      <c r="F19" s="3"/>
      <c r="G19" s="3"/>
      <c r="H19" s="3"/>
      <c r="I19" s="3"/>
      <c r="J19" s="3"/>
      <c r="K19" s="3"/>
    </row>
    <row r="20">
      <c r="B20" s="5" t="s">
        <v>45</v>
      </c>
    </row>
    <row r="21">
      <c r="B21" s="13" t="s">
        <v>22</v>
      </c>
      <c r="C21" s="14" t="s">
        <v>47</v>
      </c>
      <c r="D21" s="15" t="s">
        <v>48</v>
      </c>
    </row>
    <row r="22">
      <c r="B22" s="21" t="s">
        <v>49</v>
      </c>
      <c r="C22" s="22">
        <f>C18 + D18</f>
        <v>2.7</v>
      </c>
      <c r="D22" s="23">
        <f>C18-D18</f>
        <v>0.3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3">
      <c r="B3" s="5" t="s">
        <v>12</v>
      </c>
      <c r="C3" s="8"/>
      <c r="D3" s="8"/>
      <c r="E3" s="8"/>
    </row>
    <row r="4">
      <c r="B4" s="13" t="s">
        <v>22</v>
      </c>
      <c r="C4" s="14" t="s">
        <v>27</v>
      </c>
      <c r="D4" s="15" t="s">
        <v>31</v>
      </c>
      <c r="E4" s="15" t="s">
        <v>34</v>
      </c>
    </row>
    <row r="5">
      <c r="B5" s="16">
        <v>1.0</v>
      </c>
      <c r="C5" s="8">
        <v>1.0</v>
      </c>
      <c r="D5" s="18">
        <v>2.0</v>
      </c>
      <c r="E5" s="20">
        <f t="shared" ref="E5:E14" si="1">C5+D5</f>
        <v>3</v>
      </c>
    </row>
    <row r="6">
      <c r="B6" s="16">
        <v>2.0</v>
      </c>
      <c r="C6" s="8">
        <v>4.0</v>
      </c>
      <c r="D6" s="18">
        <v>1.0</v>
      </c>
      <c r="E6" s="20">
        <f t="shared" si="1"/>
        <v>5</v>
      </c>
    </row>
    <row r="7">
      <c r="B7" s="16">
        <v>3.0</v>
      </c>
      <c r="C7" s="8">
        <v>1.0</v>
      </c>
      <c r="D7" s="18">
        <v>2.0</v>
      </c>
      <c r="E7" s="20">
        <f t="shared" si="1"/>
        <v>3</v>
      </c>
    </row>
    <row r="8">
      <c r="B8" s="16">
        <v>4.0</v>
      </c>
      <c r="C8" s="8">
        <v>1.0</v>
      </c>
      <c r="D8" s="18">
        <v>1.0</v>
      </c>
      <c r="E8" s="20">
        <f t="shared" si="1"/>
        <v>2</v>
      </c>
    </row>
    <row r="9">
      <c r="B9" s="16">
        <v>5.0</v>
      </c>
      <c r="C9" s="8">
        <v>2.0</v>
      </c>
      <c r="D9" s="18">
        <v>4.0</v>
      </c>
      <c r="E9" s="20">
        <f t="shared" si="1"/>
        <v>6</v>
      </c>
    </row>
    <row r="10">
      <c r="B10" s="16">
        <v>6.0</v>
      </c>
      <c r="C10" s="8">
        <v>0.0</v>
      </c>
      <c r="D10" s="18">
        <v>1.0</v>
      </c>
      <c r="E10" s="20">
        <f t="shared" si="1"/>
        <v>1</v>
      </c>
    </row>
    <row r="11">
      <c r="B11" s="16">
        <v>7.0</v>
      </c>
      <c r="C11" s="8">
        <v>2.0</v>
      </c>
      <c r="D11" s="18">
        <v>0.0</v>
      </c>
      <c r="E11" s="20">
        <f t="shared" si="1"/>
        <v>2</v>
      </c>
    </row>
    <row r="12">
      <c r="B12" s="16">
        <v>8.0</v>
      </c>
      <c r="C12" s="8">
        <v>1.0</v>
      </c>
      <c r="D12" s="18">
        <v>0.0</v>
      </c>
      <c r="E12" s="20">
        <f t="shared" si="1"/>
        <v>1</v>
      </c>
    </row>
    <row r="13">
      <c r="B13" s="16">
        <v>9.0</v>
      </c>
      <c r="C13" s="8">
        <v>0.0</v>
      </c>
      <c r="D13" s="18">
        <v>0.0</v>
      </c>
      <c r="E13" s="20">
        <f t="shared" si="1"/>
        <v>0</v>
      </c>
    </row>
    <row r="14">
      <c r="B14" s="21">
        <v>10.0</v>
      </c>
      <c r="C14" s="22">
        <v>3.0</v>
      </c>
      <c r="D14" s="23">
        <v>1.0</v>
      </c>
      <c r="E14" s="24">
        <f t="shared" si="1"/>
        <v>4</v>
      </c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B17" s="26" t="s">
        <v>38</v>
      </c>
      <c r="C17" s="14">
        <v>0.0</v>
      </c>
      <c r="D17" s="14">
        <v>1.0</v>
      </c>
      <c r="E17" s="14">
        <v>2.0</v>
      </c>
      <c r="F17" s="14">
        <v>3.0</v>
      </c>
      <c r="G17" s="14">
        <v>4.0</v>
      </c>
      <c r="H17" s="14">
        <v>5.0</v>
      </c>
      <c r="I17" s="15">
        <v>6.0</v>
      </c>
    </row>
    <row r="18">
      <c r="B18" s="28" t="s">
        <v>34</v>
      </c>
      <c r="C18" s="30">
        <f t="shared" ref="C18:I18" si="2">countif($E$5:$E$14,C17)</f>
        <v>1</v>
      </c>
      <c r="D18" s="30">
        <f t="shared" si="2"/>
        <v>2</v>
      </c>
      <c r="E18" s="30">
        <f t="shared" si="2"/>
        <v>2</v>
      </c>
      <c r="F18" s="30">
        <f t="shared" si="2"/>
        <v>2</v>
      </c>
      <c r="G18" s="30">
        <f t="shared" si="2"/>
        <v>1</v>
      </c>
      <c r="H18" s="30">
        <f t="shared" si="2"/>
        <v>1</v>
      </c>
      <c r="I18" s="30">
        <f t="shared" si="2"/>
        <v>1</v>
      </c>
    </row>
    <row r="20">
      <c r="B20" s="34"/>
      <c r="C20" s="8"/>
      <c r="D20" s="8"/>
      <c r="E20" s="8"/>
      <c r="F20" s="8"/>
      <c r="G20" s="8"/>
      <c r="H20" s="8"/>
      <c r="I20" s="8"/>
    </row>
    <row r="21">
      <c r="B21" s="26" t="s">
        <v>43</v>
      </c>
      <c r="C21" s="14">
        <v>0.0</v>
      </c>
      <c r="D21" s="14">
        <v>1.0</v>
      </c>
      <c r="E21" s="14">
        <v>2.0</v>
      </c>
      <c r="F21" s="14">
        <v>3.0</v>
      </c>
      <c r="G21" s="14">
        <v>4.0</v>
      </c>
      <c r="H21" s="14">
        <v>5.0</v>
      </c>
      <c r="I21" s="15">
        <v>6.0</v>
      </c>
    </row>
    <row r="22">
      <c r="A22" s="36">
        <f>AVERAGE(E5:E14)</f>
        <v>2.7</v>
      </c>
      <c r="B22" s="28" t="s">
        <v>34</v>
      </c>
      <c r="C22" s="37">
        <f t="shared" ref="C22:I22" si="3">C18/count($E$5:$E$14)</f>
        <v>0.1</v>
      </c>
      <c r="D22" s="37">
        <f t="shared" si="3"/>
        <v>0.2</v>
      </c>
      <c r="E22" s="37">
        <f t="shared" si="3"/>
        <v>0.2</v>
      </c>
      <c r="F22" s="37">
        <f t="shared" si="3"/>
        <v>0.2</v>
      </c>
      <c r="G22" s="37">
        <f t="shared" si="3"/>
        <v>0.1</v>
      </c>
      <c r="H22" s="37">
        <f t="shared" si="3"/>
        <v>0.1</v>
      </c>
      <c r="I22" s="37">
        <f t="shared" si="3"/>
        <v>0.1</v>
      </c>
    </row>
    <row r="23">
      <c r="Y23" s="40" t="s">
        <v>50</v>
      </c>
      <c r="Z23" s="41"/>
    </row>
    <row r="24">
      <c r="B24" s="42"/>
      <c r="C24" s="43" t="s">
        <v>51</v>
      </c>
      <c r="D24" s="41"/>
      <c r="E24" s="44" t="s">
        <v>52</v>
      </c>
      <c r="F24" s="41"/>
      <c r="G24" s="44" t="s">
        <v>53</v>
      </c>
      <c r="H24" s="41"/>
      <c r="I24" s="44" t="s">
        <v>54</v>
      </c>
      <c r="J24" s="41"/>
      <c r="K24" s="44" t="s">
        <v>55</v>
      </c>
      <c r="L24" s="41"/>
      <c r="Y24" s="45"/>
      <c r="Z24" s="46"/>
    </row>
    <row r="25">
      <c r="B25" s="47" t="s">
        <v>56</v>
      </c>
      <c r="C25" s="48" t="s">
        <v>58</v>
      </c>
      <c r="D25" s="49" t="s">
        <v>59</v>
      </c>
      <c r="E25" s="48" t="s">
        <v>58</v>
      </c>
      <c r="F25" s="49" t="s">
        <v>59</v>
      </c>
      <c r="G25" s="48" t="s">
        <v>58</v>
      </c>
      <c r="H25" s="49" t="s">
        <v>59</v>
      </c>
      <c r="I25" s="48" t="s">
        <v>58</v>
      </c>
      <c r="J25" s="49" t="s">
        <v>59</v>
      </c>
      <c r="K25" s="50" t="s">
        <v>58</v>
      </c>
      <c r="L25" s="46" t="s">
        <v>59</v>
      </c>
      <c r="Y25" s="51"/>
      <c r="Z25" s="52"/>
    </row>
    <row r="26">
      <c r="A26" s="2" t="s">
        <v>60</v>
      </c>
      <c r="B26" s="53">
        <v>0.5</v>
      </c>
      <c r="C26" s="54">
        <v>1.0</v>
      </c>
      <c r="D26" s="55">
        <v>0.0</v>
      </c>
      <c r="E26" s="57">
        <f t="shared" ref="E26:E30" si="6">1-F26</f>
        <v>0.9</v>
      </c>
      <c r="F26" s="58">
        <f t="shared" ref="F26:F30" si="7">SUMIF($C$21:$I$21,"&lt;="&amp;D26,$C$22:$I$22)</f>
        <v>0.1</v>
      </c>
      <c r="G26" s="60">
        <f t="shared" ref="G26:H26" si="4">1/E26</f>
        <v>1.111111111</v>
      </c>
      <c r="H26" s="61">
        <f t="shared" si="4"/>
        <v>10</v>
      </c>
      <c r="I26" s="60">
        <f t="shared" ref="I26:J26" si="5">(1-E26)/E26</f>
        <v>0.1111111111</v>
      </c>
      <c r="J26" s="61">
        <f t="shared" si="5"/>
        <v>9</v>
      </c>
      <c r="K26" s="60">
        <f t="shared" ref="K26:K30" si="10">if(I26 &lt; 1, I26 , -1/I26)</f>
        <v>0.1111111111</v>
      </c>
      <c r="L26" s="61">
        <f t="shared" ref="L26:L30" si="11">if(J26 &lt;= 1,J26  , -1/J26)</f>
        <v>-0.1111111111</v>
      </c>
      <c r="Y26" s="51"/>
      <c r="Z26" s="52"/>
    </row>
    <row r="27">
      <c r="B27" s="53">
        <v>1.5</v>
      </c>
      <c r="C27" s="54">
        <v>2.0</v>
      </c>
      <c r="D27" s="55">
        <v>1.0</v>
      </c>
      <c r="E27" s="57">
        <f t="shared" si="6"/>
        <v>0.7</v>
      </c>
      <c r="F27" s="58">
        <f t="shared" si="7"/>
        <v>0.3</v>
      </c>
      <c r="G27" s="60">
        <f t="shared" ref="G27:H27" si="8">1/E27</f>
        <v>1.428571429</v>
      </c>
      <c r="H27" s="61">
        <f t="shared" si="8"/>
        <v>3.333333333</v>
      </c>
      <c r="I27" s="60">
        <f t="shared" ref="I27:J27" si="9">(1-E27)/E27</f>
        <v>0.4285714286</v>
      </c>
      <c r="J27" s="61">
        <f t="shared" si="9"/>
        <v>2.333333333</v>
      </c>
      <c r="K27" s="60">
        <f t="shared" si="10"/>
        <v>0.4285714286</v>
      </c>
      <c r="L27" s="61">
        <f t="shared" si="11"/>
        <v>-0.4285714286</v>
      </c>
      <c r="Y27" s="51"/>
      <c r="Z27" s="52"/>
    </row>
    <row r="28">
      <c r="B28" s="53">
        <v>2.5</v>
      </c>
      <c r="C28" s="54">
        <v>3.0</v>
      </c>
      <c r="D28" s="55">
        <v>2.0</v>
      </c>
      <c r="E28" s="57">
        <f t="shared" si="6"/>
        <v>0.5</v>
      </c>
      <c r="F28" s="58">
        <f t="shared" si="7"/>
        <v>0.5</v>
      </c>
      <c r="G28" s="60">
        <f t="shared" ref="G28:H28" si="12">1/E28</f>
        <v>2</v>
      </c>
      <c r="H28" s="61">
        <f t="shared" si="12"/>
        <v>2</v>
      </c>
      <c r="I28" s="60">
        <f t="shared" ref="I28:J28" si="13">(1-E28)/E28</f>
        <v>1</v>
      </c>
      <c r="J28" s="61">
        <f t="shared" si="13"/>
        <v>1</v>
      </c>
      <c r="K28" s="60">
        <f t="shared" si="10"/>
        <v>-1</v>
      </c>
      <c r="L28" s="61">
        <f t="shared" si="11"/>
        <v>1</v>
      </c>
      <c r="Y28" s="74"/>
      <c r="Z28" s="20"/>
    </row>
    <row r="29">
      <c r="B29" s="16">
        <v>3.5</v>
      </c>
      <c r="C29" s="8">
        <v>4.0</v>
      </c>
      <c r="D29" s="18">
        <v>3.0</v>
      </c>
      <c r="E29" s="57">
        <f t="shared" si="6"/>
        <v>0.3</v>
      </c>
      <c r="F29" s="58">
        <f t="shared" si="7"/>
        <v>0.7</v>
      </c>
      <c r="G29" s="60">
        <f t="shared" ref="G29:H29" si="14">1/E29</f>
        <v>3.333333333</v>
      </c>
      <c r="H29" s="61">
        <f t="shared" si="14"/>
        <v>1.428571429</v>
      </c>
      <c r="I29" s="60">
        <f t="shared" ref="I29:J29" si="15">(1-E29)/E29</f>
        <v>2.333333333</v>
      </c>
      <c r="J29" s="61">
        <f t="shared" si="15"/>
        <v>0.4285714286</v>
      </c>
      <c r="K29" s="60">
        <f t="shared" si="10"/>
        <v>-0.4285714286</v>
      </c>
      <c r="L29" s="61">
        <f t="shared" si="11"/>
        <v>0.4285714286</v>
      </c>
      <c r="Y29" s="77"/>
      <c r="Z29" s="24"/>
    </row>
    <row r="30">
      <c r="B30" s="16">
        <v>4.5</v>
      </c>
      <c r="C30" s="22">
        <v>5.0</v>
      </c>
      <c r="D30" s="23">
        <v>4.0</v>
      </c>
      <c r="E30" s="57">
        <f t="shared" si="6"/>
        <v>0.2</v>
      </c>
      <c r="F30" s="58">
        <f t="shared" si="7"/>
        <v>0.8</v>
      </c>
      <c r="G30" s="60">
        <f t="shared" ref="G30:H30" si="16">1/E30</f>
        <v>5</v>
      </c>
      <c r="H30" s="61">
        <f t="shared" si="16"/>
        <v>1.25</v>
      </c>
      <c r="I30" s="60">
        <f t="shared" ref="I30:J30" si="17">(1-E30)/E30</f>
        <v>4</v>
      </c>
      <c r="J30" s="61">
        <f t="shared" si="17"/>
        <v>0.25</v>
      </c>
      <c r="K30" s="60">
        <f t="shared" si="10"/>
        <v>-0.25</v>
      </c>
      <c r="L30" s="61">
        <f t="shared" si="11"/>
        <v>0.25</v>
      </c>
    </row>
    <row r="31">
      <c r="A31" s="2"/>
      <c r="B31" s="79"/>
      <c r="C31" s="80"/>
      <c r="D31" s="80"/>
      <c r="E31" s="81"/>
      <c r="F31" s="81"/>
      <c r="G31" s="82"/>
      <c r="H31" s="82"/>
      <c r="I31" s="82"/>
      <c r="J31" s="82"/>
      <c r="K31" s="82"/>
      <c r="L31" s="82"/>
      <c r="Y31" s="40" t="s">
        <v>50</v>
      </c>
      <c r="Z31" s="41"/>
    </row>
    <row r="32">
      <c r="A32" s="2"/>
      <c r="B32" s="83"/>
      <c r="C32" s="43" t="s">
        <v>51</v>
      </c>
      <c r="D32" s="41"/>
      <c r="E32" s="85" t="s">
        <v>52</v>
      </c>
      <c r="F32" s="41"/>
      <c r="G32" s="86" t="s">
        <v>53</v>
      </c>
      <c r="H32" s="41"/>
      <c r="I32" s="86" t="s">
        <v>54</v>
      </c>
      <c r="J32" s="41"/>
      <c r="K32" s="86" t="s">
        <v>55</v>
      </c>
      <c r="L32" s="41"/>
      <c r="Y32" s="45"/>
      <c r="Z32" s="46"/>
    </row>
    <row r="33">
      <c r="A33" s="2"/>
      <c r="B33" s="47" t="s">
        <v>56</v>
      </c>
      <c r="C33" s="48" t="s">
        <v>58</v>
      </c>
      <c r="D33" s="49" t="s">
        <v>59</v>
      </c>
      <c r="E33" s="89" t="s">
        <v>58</v>
      </c>
      <c r="F33" s="90" t="s">
        <v>59</v>
      </c>
      <c r="G33" s="91" t="s">
        <v>58</v>
      </c>
      <c r="H33" s="92" t="s">
        <v>59</v>
      </c>
      <c r="I33" s="91" t="s">
        <v>58</v>
      </c>
      <c r="J33" s="92" t="s">
        <v>59</v>
      </c>
      <c r="K33" s="91" t="s">
        <v>58</v>
      </c>
      <c r="L33" s="92" t="s">
        <v>59</v>
      </c>
      <c r="Y33" s="51"/>
      <c r="Z33" s="52"/>
    </row>
    <row r="34">
      <c r="A34" s="2" t="s">
        <v>66</v>
      </c>
      <c r="B34" s="53">
        <v>0.0</v>
      </c>
      <c r="C34" s="54">
        <v>1.0</v>
      </c>
      <c r="D34" s="55"/>
      <c r="E34" s="97">
        <f t="shared" ref="E34:E38" si="21">sumif($C$21:$I$21,"&gt;="&amp;C34,$C$22:$I$22)/sumif($C$21:$I$21,"&lt;&gt;"&amp;C34 - 1,$C$22:$I$22)</f>
        <v>1</v>
      </c>
      <c r="F34" s="98"/>
      <c r="G34" s="60">
        <f t="shared" ref="G34:H34" si="18">1/E34</f>
        <v>1</v>
      </c>
      <c r="H34" s="61" t="str">
        <f t="shared" si="18"/>
        <v>#DIV/0!</v>
      </c>
      <c r="I34" s="60">
        <f t="shared" ref="I34:J34" si="19">(1-E34)/E34</f>
        <v>0</v>
      </c>
      <c r="J34" s="61" t="str">
        <f t="shared" si="19"/>
        <v>#DIV/0!</v>
      </c>
      <c r="K34" s="60">
        <f t="shared" ref="K34:L34" si="20">if(I34 &lt; 1, I34 , -1/I34)</f>
        <v>0</v>
      </c>
      <c r="L34" s="61" t="str">
        <f t="shared" si="20"/>
        <v>#DIV/0!</v>
      </c>
      <c r="Y34" s="51"/>
      <c r="Z34" s="52"/>
    </row>
    <row r="35">
      <c r="B35" s="53">
        <v>1.0</v>
      </c>
      <c r="C35" s="54">
        <v>2.0</v>
      </c>
      <c r="D35" s="55">
        <v>0.0</v>
      </c>
      <c r="E35" s="101">
        <f t="shared" si="21"/>
        <v>0.875</v>
      </c>
      <c r="F35" s="61">
        <f t="shared" ref="F35:F38" si="25">1-E35</f>
        <v>0.125</v>
      </c>
      <c r="G35" s="60">
        <f t="shared" ref="G35:H35" si="22">1/E35</f>
        <v>1.142857143</v>
      </c>
      <c r="H35" s="61">
        <f t="shared" si="22"/>
        <v>8</v>
      </c>
      <c r="I35" s="60">
        <f t="shared" ref="I35:J35" si="23">(1-E35)/E35</f>
        <v>0.1428571429</v>
      </c>
      <c r="J35" s="61">
        <f t="shared" si="23"/>
        <v>7</v>
      </c>
      <c r="K35" s="60">
        <f t="shared" ref="K35:L35" si="24">if(I35 &lt; 1, I35 , -1/I35)</f>
        <v>0.1428571429</v>
      </c>
      <c r="L35" s="61">
        <f t="shared" si="24"/>
        <v>-0.1428571429</v>
      </c>
      <c r="Y35" s="51"/>
      <c r="Z35" s="52"/>
    </row>
    <row r="36">
      <c r="B36" s="53">
        <v>2.0</v>
      </c>
      <c r="C36" s="54">
        <v>3.0</v>
      </c>
      <c r="D36" s="55">
        <v>1.0</v>
      </c>
      <c r="E36" s="101">
        <f t="shared" si="21"/>
        <v>0.625</v>
      </c>
      <c r="F36" s="61">
        <f t="shared" si="25"/>
        <v>0.375</v>
      </c>
      <c r="G36" s="60">
        <f t="shared" ref="G36:H36" si="26">1/E36</f>
        <v>1.6</v>
      </c>
      <c r="H36" s="61">
        <f t="shared" si="26"/>
        <v>2.666666667</v>
      </c>
      <c r="I36" s="60">
        <f t="shared" ref="I36:J36" si="27">(1-E36)/E36</f>
        <v>0.6</v>
      </c>
      <c r="J36" s="61">
        <f t="shared" si="27"/>
        <v>1.666666667</v>
      </c>
      <c r="K36" s="60">
        <f t="shared" ref="K36:L36" si="28">if(I36 &lt; 1, I36 , -1/I36)</f>
        <v>0.6</v>
      </c>
      <c r="L36" s="61">
        <f t="shared" si="28"/>
        <v>-0.6</v>
      </c>
      <c r="Y36" s="74"/>
      <c r="Z36" s="20"/>
    </row>
    <row r="37">
      <c r="B37" s="16">
        <v>3.0</v>
      </c>
      <c r="C37" s="8">
        <v>4.0</v>
      </c>
      <c r="D37" s="18">
        <v>2.0</v>
      </c>
      <c r="E37" s="101">
        <f t="shared" si="21"/>
        <v>0.375</v>
      </c>
      <c r="F37" s="61">
        <f t="shared" si="25"/>
        <v>0.625</v>
      </c>
      <c r="G37" s="60">
        <f t="shared" ref="G37:H37" si="29">1/E37</f>
        <v>2.666666667</v>
      </c>
      <c r="H37" s="61">
        <f t="shared" si="29"/>
        <v>1.6</v>
      </c>
      <c r="I37" s="60">
        <f t="shared" ref="I37:J37" si="30">(1-E37)/E37</f>
        <v>1.666666667</v>
      </c>
      <c r="J37" s="61">
        <f t="shared" si="30"/>
        <v>0.6</v>
      </c>
      <c r="K37" s="60">
        <f t="shared" ref="K37:L37" si="31">if(I37 &lt; 1, I37 , -1/I37)</f>
        <v>-0.6</v>
      </c>
      <c r="L37" s="61">
        <f t="shared" si="31"/>
        <v>0.6</v>
      </c>
      <c r="Y37" s="77"/>
      <c r="Z37" s="24"/>
    </row>
    <row r="38">
      <c r="B38" s="21">
        <v>4.0</v>
      </c>
      <c r="C38" s="22">
        <v>5.0</v>
      </c>
      <c r="D38" s="23">
        <v>3.0</v>
      </c>
      <c r="E38" s="118">
        <f t="shared" si="21"/>
        <v>0.2222222222</v>
      </c>
      <c r="F38" s="92">
        <f t="shared" si="25"/>
        <v>0.7777777778</v>
      </c>
      <c r="G38" s="91">
        <f t="shared" ref="G38:H38" si="32">1/E38</f>
        <v>4.5</v>
      </c>
      <c r="H38" s="92">
        <f t="shared" si="32"/>
        <v>1.285714286</v>
      </c>
      <c r="I38" s="91">
        <f t="shared" ref="I38:J38" si="33">(1-E38)/E38</f>
        <v>3.5</v>
      </c>
      <c r="J38" s="92">
        <f t="shared" si="33"/>
        <v>0.2857142857</v>
      </c>
      <c r="K38" s="91">
        <f t="shared" ref="K38:L38" si="34">if(I38 &lt; 1, I38 , -1/I38)</f>
        <v>-0.2857142857</v>
      </c>
      <c r="L38" s="92">
        <f t="shared" si="34"/>
        <v>0.2857142857</v>
      </c>
    </row>
    <row r="40">
      <c r="A40" s="128"/>
      <c r="B40" s="130"/>
      <c r="C40" s="131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" t="s">
        <v>44</v>
      </c>
      <c r="B41" s="96" t="s">
        <v>46</v>
      </c>
      <c r="C41" s="39"/>
    </row>
    <row r="42">
      <c r="B42" s="34"/>
      <c r="C42" s="8"/>
      <c r="D42" s="8"/>
      <c r="E42" s="8"/>
      <c r="F42" s="8"/>
      <c r="G42" s="8"/>
      <c r="H42" s="8"/>
      <c r="I42" s="8"/>
    </row>
    <row r="43">
      <c r="B43" s="26" t="s">
        <v>43</v>
      </c>
      <c r="C43" s="14">
        <v>0.0</v>
      </c>
      <c r="D43" s="14">
        <v>1.0</v>
      </c>
      <c r="E43" s="14">
        <v>2.0</v>
      </c>
      <c r="F43" s="14">
        <v>3.0</v>
      </c>
      <c r="G43" s="14">
        <v>4.0</v>
      </c>
      <c r="H43" s="14">
        <v>5.0</v>
      </c>
      <c r="I43" s="15">
        <v>6.0</v>
      </c>
    </row>
    <row r="44">
      <c r="B44" s="28" t="s">
        <v>34</v>
      </c>
      <c r="C44" s="138">
        <f t="shared" ref="C44:I44" si="35">C22</f>
        <v>0.1</v>
      </c>
      <c r="D44" s="138">
        <f t="shared" si="35"/>
        <v>0.2</v>
      </c>
      <c r="E44" s="138">
        <f t="shared" si="35"/>
        <v>0.2</v>
      </c>
      <c r="F44" s="138">
        <f t="shared" si="35"/>
        <v>0.2</v>
      </c>
      <c r="G44" s="138">
        <f t="shared" si="35"/>
        <v>0.1</v>
      </c>
      <c r="H44" s="138">
        <f t="shared" si="35"/>
        <v>0.1</v>
      </c>
      <c r="I44" s="139">
        <f t="shared" si="35"/>
        <v>0.1</v>
      </c>
    </row>
    <row r="46">
      <c r="B46" s="140"/>
      <c r="C46" s="141" t="s">
        <v>76</v>
      </c>
      <c r="D46" s="142"/>
      <c r="E46" s="142"/>
      <c r="F46" s="41"/>
      <c r="G46" s="141" t="s">
        <v>77</v>
      </c>
      <c r="H46" s="142"/>
      <c r="I46" s="142"/>
      <c r="J46" s="41"/>
      <c r="K46" s="44" t="s">
        <v>52</v>
      </c>
      <c r="L46" s="41"/>
      <c r="M46" s="44" t="s">
        <v>53</v>
      </c>
      <c r="N46" s="41"/>
      <c r="O46" s="44" t="s">
        <v>54</v>
      </c>
      <c r="P46" s="41"/>
      <c r="Q46" s="44" t="s">
        <v>55</v>
      </c>
      <c r="R46" s="41"/>
    </row>
    <row r="47">
      <c r="B47" s="144" t="s">
        <v>56</v>
      </c>
      <c r="C47" s="145" t="s">
        <v>79</v>
      </c>
      <c r="D47" s="146" t="s">
        <v>80</v>
      </c>
      <c r="E47" s="147" t="s">
        <v>81</v>
      </c>
      <c r="F47" s="149" t="s">
        <v>82</v>
      </c>
      <c r="G47" s="151" t="s">
        <v>79</v>
      </c>
      <c r="H47" s="146" t="s">
        <v>80</v>
      </c>
      <c r="I47" s="146" t="s">
        <v>81</v>
      </c>
      <c r="J47" s="155" t="s">
        <v>82</v>
      </c>
      <c r="K47" s="48" t="s">
        <v>58</v>
      </c>
      <c r="L47" s="49" t="s">
        <v>59</v>
      </c>
      <c r="M47" s="48" t="s">
        <v>58</v>
      </c>
      <c r="N47" s="49" t="s">
        <v>59</v>
      </c>
      <c r="O47" s="48" t="s">
        <v>58</v>
      </c>
      <c r="P47" s="49" t="s">
        <v>59</v>
      </c>
      <c r="Q47" s="50" t="s">
        <v>58</v>
      </c>
      <c r="R47" s="46" t="s">
        <v>59</v>
      </c>
    </row>
    <row r="48">
      <c r="A48" s="2" t="s">
        <v>73</v>
      </c>
      <c r="B48" s="159">
        <v>1.25</v>
      </c>
      <c r="C48" s="160">
        <v>2.0</v>
      </c>
      <c r="E48" s="163">
        <v>1.0</v>
      </c>
      <c r="F48" s="163">
        <v>0.0</v>
      </c>
      <c r="G48" s="165">
        <f t="shared" ref="G48:G57" si="40">sumif($C$43:$I$43,"&gt;="&amp;C48,$C$44:$I$44)</f>
        <v>0.7</v>
      </c>
      <c r="H48" s="166">
        <f t="shared" ref="H48:I48" si="36">sumif($C$43:$I$43,"="&amp;D48,$C$44:$I$44)</f>
        <v>0</v>
      </c>
      <c r="I48" s="166">
        <f t="shared" si="36"/>
        <v>0.2</v>
      </c>
      <c r="J48" s="171">
        <f t="shared" ref="J48:J57" si="42">1 - G48 -I48</f>
        <v>0.1</v>
      </c>
      <c r="K48" s="60">
        <f t="shared" ref="K48:K57" si="43">G48/(G48 + 0.5 * H48 + 0.5 * I48 + J48)</f>
        <v>0.7777777778</v>
      </c>
      <c r="L48" s="61">
        <f t="shared" ref="L48:L57" si="44">1-K48</f>
        <v>0.2222222222</v>
      </c>
      <c r="M48" s="175">
        <f t="shared" ref="M48:N48" si="37">1/K48</f>
        <v>1.285714286</v>
      </c>
      <c r="N48" s="58">
        <f t="shared" si="37"/>
        <v>4.5</v>
      </c>
      <c r="O48" s="175">
        <f t="shared" ref="O48:P48" si="38">M48 - 1</f>
        <v>0.2857142857</v>
      </c>
      <c r="P48" s="58">
        <f t="shared" si="38"/>
        <v>3.5</v>
      </c>
      <c r="Q48" s="177">
        <f t="shared" ref="Q48:R48" si="39">if(O48 &lt; 1, O48 , -1/O48)</f>
        <v>0.2857142857</v>
      </c>
      <c r="R48" s="179">
        <f t="shared" si="39"/>
        <v>-0.2857142857</v>
      </c>
    </row>
    <row r="49">
      <c r="B49" s="159">
        <v>2.25</v>
      </c>
      <c r="C49" s="181">
        <v>3.0</v>
      </c>
      <c r="E49" s="1">
        <v>2.0</v>
      </c>
      <c r="F49" s="1">
        <v>1.0</v>
      </c>
      <c r="G49" s="182">
        <f t="shared" si="40"/>
        <v>0.5</v>
      </c>
      <c r="H49" s="36">
        <f t="shared" ref="H49:I49" si="41">sumif($C$43:$I$43,"="&amp;D49,$C$44:$I$44)</f>
        <v>0</v>
      </c>
      <c r="I49" s="36">
        <f t="shared" si="41"/>
        <v>0.2</v>
      </c>
      <c r="J49" s="187">
        <f t="shared" si="42"/>
        <v>0.3</v>
      </c>
      <c r="K49" s="60">
        <f t="shared" si="43"/>
        <v>0.5555555556</v>
      </c>
      <c r="L49" s="61">
        <f t="shared" si="44"/>
        <v>0.4444444444</v>
      </c>
      <c r="M49" s="175">
        <f t="shared" ref="M49:N49" si="45">1/K49</f>
        <v>1.8</v>
      </c>
      <c r="N49" s="58">
        <f t="shared" si="45"/>
        <v>2.25</v>
      </c>
      <c r="O49" s="175">
        <f t="shared" ref="O49:P49" si="46">M49 - 1</f>
        <v>0.8</v>
      </c>
      <c r="P49" s="58">
        <f t="shared" si="46"/>
        <v>1.25</v>
      </c>
      <c r="Q49" s="189">
        <f t="shared" ref="Q49:R49" si="47">if(O49 &lt; 1, O49 , -1/O49)</f>
        <v>0.8</v>
      </c>
      <c r="R49" s="58">
        <f t="shared" si="47"/>
        <v>-0.8</v>
      </c>
    </row>
    <row r="50">
      <c r="B50" s="159">
        <v>3.25</v>
      </c>
      <c r="C50" s="181">
        <v>4.0</v>
      </c>
      <c r="E50" s="1">
        <v>3.0</v>
      </c>
      <c r="F50" s="1">
        <v>2.0</v>
      </c>
      <c r="G50" s="182">
        <f t="shared" si="40"/>
        <v>0.3</v>
      </c>
      <c r="H50" s="36">
        <f t="shared" ref="H50:I50" si="48">sumif($C$43:$I$43,"="&amp;D50,$C$44:$I$44)</f>
        <v>0</v>
      </c>
      <c r="I50" s="36">
        <f t="shared" si="48"/>
        <v>0.2</v>
      </c>
      <c r="J50" s="187">
        <f t="shared" si="42"/>
        <v>0.5</v>
      </c>
      <c r="K50" s="60">
        <f t="shared" si="43"/>
        <v>0.3333333333</v>
      </c>
      <c r="L50" s="61">
        <f t="shared" si="44"/>
        <v>0.6666666667</v>
      </c>
      <c r="M50" s="175">
        <f t="shared" ref="M50:N50" si="49">1/K50</f>
        <v>3</v>
      </c>
      <c r="N50" s="58">
        <f t="shared" si="49"/>
        <v>1.5</v>
      </c>
      <c r="O50" s="175">
        <f t="shared" ref="O50:P50" si="50">M50 - 1</f>
        <v>2</v>
      </c>
      <c r="P50" s="58">
        <f t="shared" si="50"/>
        <v>0.5</v>
      </c>
      <c r="Q50" s="189">
        <f t="shared" ref="Q50:R50" si="51">if(O50 &lt; 1, O50 , -1/O50)</f>
        <v>-0.5</v>
      </c>
      <c r="R50" s="58">
        <f t="shared" si="51"/>
        <v>0.5</v>
      </c>
    </row>
    <row r="51">
      <c r="B51" s="193">
        <v>4.25</v>
      </c>
      <c r="C51" s="181">
        <v>5.0</v>
      </c>
      <c r="E51" s="1">
        <v>4.0</v>
      </c>
      <c r="F51" s="1">
        <v>3.0</v>
      </c>
      <c r="G51" s="182">
        <f t="shared" si="40"/>
        <v>0.2</v>
      </c>
      <c r="H51" s="36">
        <f t="shared" ref="H51:I51" si="52">sumif($C$43:$I$43,"="&amp;D51,$C$44:$I$44)</f>
        <v>0</v>
      </c>
      <c r="I51" s="36">
        <f t="shared" si="52"/>
        <v>0.1</v>
      </c>
      <c r="J51" s="187">
        <f t="shared" si="42"/>
        <v>0.7</v>
      </c>
      <c r="K51" s="60">
        <f t="shared" si="43"/>
        <v>0.2105263158</v>
      </c>
      <c r="L51" s="61">
        <f t="shared" si="44"/>
        <v>0.7894736842</v>
      </c>
      <c r="M51" s="175">
        <f t="shared" ref="M51:N51" si="53">1/K51</f>
        <v>4.75</v>
      </c>
      <c r="N51" s="58">
        <f t="shared" si="53"/>
        <v>1.266666667</v>
      </c>
      <c r="O51" s="175">
        <f t="shared" ref="O51:P51" si="54">M51 - 1</f>
        <v>3.75</v>
      </c>
      <c r="P51" s="58">
        <f t="shared" si="54"/>
        <v>0.2666666667</v>
      </c>
      <c r="Q51" s="189">
        <f t="shared" ref="Q51:R51" si="55">if(O51 &lt; 1, O51 , -1/O51)</f>
        <v>-0.2666666667</v>
      </c>
      <c r="R51" s="58">
        <f t="shared" si="55"/>
        <v>0.2666666667</v>
      </c>
    </row>
    <row r="52">
      <c r="B52" s="173">
        <v>5.25</v>
      </c>
      <c r="C52" s="196">
        <v>6.0</v>
      </c>
      <c r="D52" s="122"/>
      <c r="E52" s="197">
        <v>5.0</v>
      </c>
      <c r="F52" s="197">
        <v>4.0</v>
      </c>
      <c r="G52" s="198">
        <f t="shared" si="40"/>
        <v>0.1</v>
      </c>
      <c r="H52" s="122">
        <f t="shared" ref="H52:I52" si="56">sumif($C$43:$I$43,"="&amp;D52,$C$44:$I$44)</f>
        <v>0</v>
      </c>
      <c r="I52" s="122">
        <f t="shared" si="56"/>
        <v>0.1</v>
      </c>
      <c r="J52" s="123">
        <f t="shared" si="42"/>
        <v>0.8</v>
      </c>
      <c r="K52" s="91">
        <f t="shared" si="43"/>
        <v>0.1052631579</v>
      </c>
      <c r="L52" s="92">
        <f t="shared" si="44"/>
        <v>0.8947368421</v>
      </c>
      <c r="M52" s="89">
        <f t="shared" ref="M52:N52" si="57">1/K52</f>
        <v>9.5</v>
      </c>
      <c r="N52" s="90">
        <f t="shared" si="57"/>
        <v>1.117647059</v>
      </c>
      <c r="O52" s="89">
        <f t="shared" ref="O52:P52" si="58">M52 - 1</f>
        <v>8.5</v>
      </c>
      <c r="P52" s="90">
        <f t="shared" si="58"/>
        <v>0.1176470588</v>
      </c>
      <c r="Q52" s="208">
        <f t="shared" ref="Q52:R52" si="59">if(O52 &lt; 1, O52 , -1/O52)</f>
        <v>-0.1176470588</v>
      </c>
      <c r="R52" s="90">
        <f t="shared" si="59"/>
        <v>0.1176470588</v>
      </c>
    </row>
    <row r="53">
      <c r="A53" s="2" t="s">
        <v>75</v>
      </c>
      <c r="B53" s="159">
        <v>0.75</v>
      </c>
      <c r="C53" s="181">
        <v>2.0</v>
      </c>
      <c r="D53" s="1">
        <v>1.0</v>
      </c>
      <c r="F53" s="1">
        <v>0.0</v>
      </c>
      <c r="G53" s="165">
        <f t="shared" si="40"/>
        <v>0.7</v>
      </c>
      <c r="H53" s="166">
        <f t="shared" ref="H53:I53" si="60">sumif($C$43:$I$43,"="&amp;D53,$C$44:$I$44)</f>
        <v>0.2</v>
      </c>
      <c r="I53" s="166">
        <f t="shared" si="60"/>
        <v>0</v>
      </c>
      <c r="J53" s="171">
        <f t="shared" si="42"/>
        <v>0.3</v>
      </c>
      <c r="K53" s="60">
        <f t="shared" si="43"/>
        <v>0.6363636364</v>
      </c>
      <c r="L53" s="61">
        <f t="shared" si="44"/>
        <v>0.3636363636</v>
      </c>
      <c r="M53" s="175">
        <f t="shared" ref="M53:N53" si="61">1/K53</f>
        <v>1.571428571</v>
      </c>
      <c r="N53" s="58">
        <f t="shared" si="61"/>
        <v>2.75</v>
      </c>
      <c r="O53" s="175">
        <f t="shared" ref="O53:P53" si="62">M53 - 1</f>
        <v>0.5714285714</v>
      </c>
      <c r="P53" s="58">
        <f t="shared" si="62"/>
        <v>1.75</v>
      </c>
      <c r="Q53" s="177">
        <f t="shared" ref="Q53:R53" si="63">if(O53 &lt; 1, O53 , -1/O53)</f>
        <v>0.5714285714</v>
      </c>
      <c r="R53" s="179">
        <f t="shared" si="63"/>
        <v>-0.5714285714</v>
      </c>
    </row>
    <row r="54">
      <c r="B54" s="159">
        <v>1.75</v>
      </c>
      <c r="C54" s="181">
        <v>3.0</v>
      </c>
      <c r="D54" s="1">
        <v>2.0</v>
      </c>
      <c r="F54" s="1">
        <v>1.0</v>
      </c>
      <c r="G54" s="182">
        <f t="shared" si="40"/>
        <v>0.5</v>
      </c>
      <c r="H54" s="36">
        <f t="shared" ref="H54:I54" si="64">sumif($C$43:$I$43,"="&amp;D54,$C$44:$I$44)</f>
        <v>0.2</v>
      </c>
      <c r="I54" s="36">
        <f t="shared" si="64"/>
        <v>0</v>
      </c>
      <c r="J54" s="187">
        <f t="shared" si="42"/>
        <v>0.5</v>
      </c>
      <c r="K54" s="60">
        <f t="shared" si="43"/>
        <v>0.4545454545</v>
      </c>
      <c r="L54" s="61">
        <f t="shared" si="44"/>
        <v>0.5454545455</v>
      </c>
      <c r="M54" s="175">
        <f t="shared" ref="M54:N54" si="65">1/K54</f>
        <v>2.2</v>
      </c>
      <c r="N54" s="58">
        <f t="shared" si="65"/>
        <v>1.833333333</v>
      </c>
      <c r="O54" s="175">
        <f t="shared" ref="O54:P54" si="66">M54 - 1</f>
        <v>1.2</v>
      </c>
      <c r="P54" s="58">
        <f t="shared" si="66"/>
        <v>0.8333333333</v>
      </c>
      <c r="Q54" s="189">
        <f t="shared" ref="Q54:R54" si="67">if(O54 &lt; 1, O54 , -1/O54)</f>
        <v>-0.8333333333</v>
      </c>
      <c r="R54" s="58">
        <f t="shared" si="67"/>
        <v>0.8333333333</v>
      </c>
    </row>
    <row r="55">
      <c r="B55" s="159">
        <v>2.75</v>
      </c>
      <c r="C55" s="181">
        <v>4.0</v>
      </c>
      <c r="D55" s="1">
        <v>3.0</v>
      </c>
      <c r="F55" s="1">
        <v>2.0</v>
      </c>
      <c r="G55" s="182">
        <f t="shared" si="40"/>
        <v>0.3</v>
      </c>
      <c r="H55" s="36">
        <f t="shared" ref="H55:I55" si="68">sumif($C$43:$I$43,"="&amp;D55,$C$44:$I$44)</f>
        <v>0.2</v>
      </c>
      <c r="I55" s="36">
        <f t="shared" si="68"/>
        <v>0</v>
      </c>
      <c r="J55" s="187">
        <f t="shared" si="42"/>
        <v>0.7</v>
      </c>
      <c r="K55" s="60">
        <f t="shared" si="43"/>
        <v>0.2727272727</v>
      </c>
      <c r="L55" s="61">
        <f t="shared" si="44"/>
        <v>0.7272727273</v>
      </c>
      <c r="M55" s="175">
        <f t="shared" ref="M55:N55" si="69">1/K55</f>
        <v>3.666666667</v>
      </c>
      <c r="N55" s="58">
        <f t="shared" si="69"/>
        <v>1.375</v>
      </c>
      <c r="O55" s="175">
        <f t="shared" ref="O55:P55" si="70">M55 - 1</f>
        <v>2.666666667</v>
      </c>
      <c r="P55" s="58">
        <f t="shared" si="70"/>
        <v>0.375</v>
      </c>
      <c r="Q55" s="189">
        <f t="shared" ref="Q55:R55" si="71">if(O55 &lt; 1, O55 , -1/O55)</f>
        <v>-0.375</v>
      </c>
      <c r="R55" s="58">
        <f t="shared" si="71"/>
        <v>0.375</v>
      </c>
    </row>
    <row r="56">
      <c r="B56" s="193">
        <v>3.75</v>
      </c>
      <c r="C56" s="181">
        <v>5.0</v>
      </c>
      <c r="D56" s="1">
        <v>4.0</v>
      </c>
      <c r="F56" s="1">
        <v>3.0</v>
      </c>
      <c r="G56" s="182">
        <f t="shared" si="40"/>
        <v>0.2</v>
      </c>
      <c r="H56" s="36">
        <f t="shared" ref="H56:I56" si="72">sumif($C$43:$I$43,"="&amp;D56,$C$44:$I$44)</f>
        <v>0.1</v>
      </c>
      <c r="I56" s="36">
        <f t="shared" si="72"/>
        <v>0</v>
      </c>
      <c r="J56" s="187">
        <f t="shared" si="42"/>
        <v>0.8</v>
      </c>
      <c r="K56" s="60">
        <f t="shared" si="43"/>
        <v>0.1904761905</v>
      </c>
      <c r="L56" s="61">
        <f t="shared" si="44"/>
        <v>0.8095238095</v>
      </c>
      <c r="M56" s="175">
        <f t="shared" ref="M56:N56" si="73">1/K56</f>
        <v>5.25</v>
      </c>
      <c r="N56" s="58">
        <f t="shared" si="73"/>
        <v>1.235294118</v>
      </c>
      <c r="O56" s="175">
        <f t="shared" ref="O56:P56" si="74">M56 - 1</f>
        <v>4.25</v>
      </c>
      <c r="P56" s="58">
        <f t="shared" si="74"/>
        <v>0.2352941176</v>
      </c>
      <c r="Q56" s="189">
        <f t="shared" ref="Q56:R56" si="75">if(O56 &lt; 1, O56 , -1/O56)</f>
        <v>-0.2352941176</v>
      </c>
      <c r="R56" s="58">
        <f t="shared" si="75"/>
        <v>0.2352941176</v>
      </c>
    </row>
    <row r="57">
      <c r="B57" s="173">
        <v>4.75</v>
      </c>
      <c r="C57" s="196">
        <v>6.0</v>
      </c>
      <c r="D57" s="197">
        <v>5.0</v>
      </c>
      <c r="E57" s="122"/>
      <c r="F57" s="197">
        <v>4.0</v>
      </c>
      <c r="G57" s="198">
        <f t="shared" si="40"/>
        <v>0.1</v>
      </c>
      <c r="H57" s="122">
        <f t="shared" ref="H57:I57" si="76">sumif($C$43:$I$43,"="&amp;D57,$C$44:$I$44)</f>
        <v>0.1</v>
      </c>
      <c r="I57" s="122">
        <f t="shared" si="76"/>
        <v>0</v>
      </c>
      <c r="J57" s="123">
        <f t="shared" si="42"/>
        <v>0.9</v>
      </c>
      <c r="K57" s="91">
        <f t="shared" si="43"/>
        <v>0.09523809524</v>
      </c>
      <c r="L57" s="92">
        <f t="shared" si="44"/>
        <v>0.9047619048</v>
      </c>
      <c r="M57" s="89">
        <f t="shared" ref="M57:N57" si="77">1/K57</f>
        <v>10.5</v>
      </c>
      <c r="N57" s="90">
        <f t="shared" si="77"/>
        <v>1.105263158</v>
      </c>
      <c r="O57" s="89">
        <f t="shared" ref="O57:P57" si="78">M57 - 1</f>
        <v>9.5</v>
      </c>
      <c r="P57" s="90">
        <f t="shared" si="78"/>
        <v>0.1052631579</v>
      </c>
      <c r="Q57" s="208">
        <f t="shared" ref="Q57:R57" si="79">if(O57 &lt; 1, O57 , -1/O57)</f>
        <v>-0.1052631579</v>
      </c>
      <c r="R57" s="90">
        <f t="shared" si="79"/>
        <v>0.1052631579</v>
      </c>
    </row>
  </sheetData>
  <mergeCells count="18">
    <mergeCell ref="Y23:Z23"/>
    <mergeCell ref="C24:D24"/>
    <mergeCell ref="E24:F24"/>
    <mergeCell ref="G24:H24"/>
    <mergeCell ref="I24:J24"/>
    <mergeCell ref="K24:L24"/>
    <mergeCell ref="Y31:Z31"/>
    <mergeCell ref="K46:L46"/>
    <mergeCell ref="M46:N46"/>
    <mergeCell ref="O46:P46"/>
    <mergeCell ref="Q46:R46"/>
    <mergeCell ref="C32:D32"/>
    <mergeCell ref="E32:F32"/>
    <mergeCell ref="G32:H32"/>
    <mergeCell ref="I32:J32"/>
    <mergeCell ref="K32:L32"/>
    <mergeCell ref="C46:F46"/>
    <mergeCell ref="G46:J46"/>
  </mergeCells>
  <hyperlinks>
    <hyperlink r:id="rId1" location="slide=id.gbfa8f241cc_0_46" ref="B4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41</v>
      </c>
    </row>
    <row r="3">
      <c r="B3" s="5" t="s">
        <v>12</v>
      </c>
      <c r="C3" s="8"/>
      <c r="D3" s="8"/>
      <c r="E3" s="8"/>
    </row>
    <row r="4">
      <c r="B4" s="13" t="s">
        <v>22</v>
      </c>
      <c r="C4" s="14" t="s">
        <v>27</v>
      </c>
      <c r="D4" s="15" t="s">
        <v>31</v>
      </c>
      <c r="E4" s="15" t="s">
        <v>34</v>
      </c>
    </row>
    <row r="5">
      <c r="B5" s="16">
        <v>1.0</v>
      </c>
      <c r="C5" s="8">
        <v>1.0</v>
      </c>
      <c r="D5" s="18">
        <v>2.0</v>
      </c>
      <c r="E5" s="20">
        <f t="shared" ref="E5:E14" si="1">C5+D5</f>
        <v>3</v>
      </c>
    </row>
    <row r="6">
      <c r="B6" s="16">
        <v>2.0</v>
      </c>
      <c r="C6" s="8">
        <v>4.0</v>
      </c>
      <c r="D6" s="18">
        <v>1.0</v>
      </c>
      <c r="E6" s="20">
        <f t="shared" si="1"/>
        <v>5</v>
      </c>
    </row>
    <row r="7">
      <c r="B7" s="16">
        <v>3.0</v>
      </c>
      <c r="C7" s="8">
        <v>1.0</v>
      </c>
      <c r="D7" s="18">
        <v>2.0</v>
      </c>
      <c r="E7" s="20">
        <f t="shared" si="1"/>
        <v>3</v>
      </c>
    </row>
    <row r="8">
      <c r="B8" s="16">
        <v>4.0</v>
      </c>
      <c r="C8" s="8">
        <v>1.0</v>
      </c>
      <c r="D8" s="18">
        <v>1.0</v>
      </c>
      <c r="E8" s="20">
        <f t="shared" si="1"/>
        <v>2</v>
      </c>
    </row>
    <row r="9">
      <c r="B9" s="16">
        <v>5.0</v>
      </c>
      <c r="C9" s="8">
        <v>2.0</v>
      </c>
      <c r="D9" s="18">
        <v>4.0</v>
      </c>
      <c r="E9" s="20">
        <f t="shared" si="1"/>
        <v>6</v>
      </c>
    </row>
    <row r="10">
      <c r="B10" s="16">
        <v>6.0</v>
      </c>
      <c r="C10" s="8">
        <v>0.0</v>
      </c>
      <c r="D10" s="18">
        <v>1.0</v>
      </c>
      <c r="E10" s="20">
        <f t="shared" si="1"/>
        <v>1</v>
      </c>
    </row>
    <row r="11">
      <c r="B11" s="16">
        <v>7.0</v>
      </c>
      <c r="C11" s="8">
        <v>2.0</v>
      </c>
      <c r="D11" s="18">
        <v>0.0</v>
      </c>
      <c r="E11" s="20">
        <f t="shared" si="1"/>
        <v>2</v>
      </c>
    </row>
    <row r="12">
      <c r="B12" s="16">
        <v>8.0</v>
      </c>
      <c r="C12" s="8">
        <v>1.0</v>
      </c>
      <c r="D12" s="18">
        <v>0.0</v>
      </c>
      <c r="E12" s="20">
        <f t="shared" si="1"/>
        <v>1</v>
      </c>
    </row>
    <row r="13">
      <c r="B13" s="16">
        <v>9.0</v>
      </c>
      <c r="C13" s="8">
        <v>0.0</v>
      </c>
      <c r="D13" s="18">
        <v>0.0</v>
      </c>
      <c r="E13" s="20">
        <f t="shared" si="1"/>
        <v>0</v>
      </c>
    </row>
    <row r="14">
      <c r="B14" s="21">
        <v>10.0</v>
      </c>
      <c r="C14" s="22">
        <v>3.0</v>
      </c>
      <c r="D14" s="23">
        <v>1.0</v>
      </c>
      <c r="E14" s="24">
        <f t="shared" si="1"/>
        <v>4</v>
      </c>
    </row>
    <row r="16">
      <c r="A16" s="8"/>
      <c r="B16" s="26" t="s">
        <v>57</v>
      </c>
      <c r="C16" s="14">
        <v>0.0</v>
      </c>
      <c r="D16" s="14">
        <v>1.0</v>
      </c>
      <c r="E16" s="14">
        <v>2.0</v>
      </c>
      <c r="F16" s="14">
        <v>3.0</v>
      </c>
      <c r="G16" s="14">
        <v>4.0</v>
      </c>
      <c r="H16" s="14">
        <v>5.0</v>
      </c>
      <c r="I16" s="15">
        <v>6.0</v>
      </c>
    </row>
    <row r="17">
      <c r="B17" s="16" t="s">
        <v>27</v>
      </c>
      <c r="C17" s="56">
        <f t="shared" ref="C17:I17" si="2">countif($C$5:$C$14 ,C$16)</f>
        <v>2</v>
      </c>
      <c r="D17" s="56">
        <f t="shared" si="2"/>
        <v>4</v>
      </c>
      <c r="E17" s="56">
        <f t="shared" si="2"/>
        <v>2</v>
      </c>
      <c r="F17" s="56">
        <f t="shared" si="2"/>
        <v>1</v>
      </c>
      <c r="G17" s="56">
        <f t="shared" si="2"/>
        <v>1</v>
      </c>
      <c r="H17" s="56">
        <f t="shared" si="2"/>
        <v>0</v>
      </c>
      <c r="I17" s="56">
        <f t="shared" si="2"/>
        <v>0</v>
      </c>
    </row>
    <row r="18">
      <c r="B18" s="16" t="s">
        <v>31</v>
      </c>
      <c r="C18" s="56">
        <f t="shared" ref="C18:I18" si="3">countif($D$5:$D$14 ,C$16)</f>
        <v>3</v>
      </c>
      <c r="D18" s="56">
        <f t="shared" si="3"/>
        <v>4</v>
      </c>
      <c r="E18" s="56">
        <f t="shared" si="3"/>
        <v>2</v>
      </c>
      <c r="F18" s="56">
        <f t="shared" si="3"/>
        <v>0</v>
      </c>
      <c r="G18" s="56">
        <f t="shared" si="3"/>
        <v>1</v>
      </c>
      <c r="H18" s="56">
        <f t="shared" si="3"/>
        <v>0</v>
      </c>
      <c r="I18" s="56">
        <f t="shared" si="3"/>
        <v>0</v>
      </c>
    </row>
    <row r="19">
      <c r="B19" s="28" t="s">
        <v>34</v>
      </c>
      <c r="C19" s="56">
        <f t="shared" ref="C19:I19" si="4">countif($E$5:$E$14 ,C$16)</f>
        <v>1</v>
      </c>
      <c r="D19" s="56">
        <f t="shared" si="4"/>
        <v>2</v>
      </c>
      <c r="E19" s="56">
        <f t="shared" si="4"/>
        <v>2</v>
      </c>
      <c r="F19" s="56">
        <f t="shared" si="4"/>
        <v>2</v>
      </c>
      <c r="G19" s="56">
        <f t="shared" si="4"/>
        <v>1</v>
      </c>
      <c r="H19" s="56">
        <f t="shared" si="4"/>
        <v>1</v>
      </c>
      <c r="I19" s="56">
        <f t="shared" si="4"/>
        <v>1</v>
      </c>
    </row>
    <row r="20">
      <c r="A20" s="8"/>
      <c r="B20" s="34"/>
      <c r="C20" s="8"/>
      <c r="D20" s="8"/>
      <c r="E20" s="8"/>
      <c r="F20" s="8"/>
      <c r="G20" s="8"/>
      <c r="H20" s="8"/>
      <c r="I20" s="8"/>
    </row>
    <row r="21">
      <c r="A21" s="8"/>
      <c r="B21" s="63" t="s">
        <v>63</v>
      </c>
      <c r="C21" s="8"/>
      <c r="D21" s="8"/>
      <c r="E21" s="8"/>
      <c r="F21" s="8"/>
      <c r="G21" s="8"/>
      <c r="H21" s="8"/>
      <c r="I21" s="8"/>
    </row>
    <row r="22">
      <c r="A22" s="8" t="s">
        <v>62</v>
      </c>
      <c r="B22" s="26" t="s">
        <v>43</v>
      </c>
      <c r="C22" s="14">
        <v>0.0</v>
      </c>
      <c r="D22" s="14">
        <v>1.0</v>
      </c>
      <c r="E22" s="14">
        <v>2.0</v>
      </c>
      <c r="F22" s="14">
        <v>3.0</v>
      </c>
      <c r="G22" s="14">
        <v>4.0</v>
      </c>
      <c r="H22" s="14">
        <v>5.0</v>
      </c>
      <c r="I22" s="15">
        <v>6.0</v>
      </c>
    </row>
    <row r="23">
      <c r="A23" s="36">
        <f>AVERAGE(C5:C14)</f>
        <v>1.5</v>
      </c>
      <c r="B23" s="16" t="s">
        <v>27</v>
      </c>
      <c r="C23" s="56">
        <f t="shared" ref="C23:I23" si="5">C17/10</f>
        <v>0.2</v>
      </c>
      <c r="D23" s="56">
        <f t="shared" si="5"/>
        <v>0.4</v>
      </c>
      <c r="E23" s="56">
        <f t="shared" si="5"/>
        <v>0.2</v>
      </c>
      <c r="F23" s="56">
        <f t="shared" si="5"/>
        <v>0.1</v>
      </c>
      <c r="G23" s="56">
        <f t="shared" si="5"/>
        <v>0.1</v>
      </c>
      <c r="H23" s="56">
        <f t="shared" si="5"/>
        <v>0</v>
      </c>
      <c r="I23" s="56">
        <f t="shared" si="5"/>
        <v>0</v>
      </c>
    </row>
    <row r="24">
      <c r="A24" s="36">
        <f>AVERAGE(D5:D14)</f>
        <v>1.2</v>
      </c>
      <c r="B24" s="16" t="s">
        <v>31</v>
      </c>
      <c r="C24" s="56">
        <f t="shared" ref="C24:I24" si="6">C18/10</f>
        <v>0.3</v>
      </c>
      <c r="D24" s="56">
        <f t="shared" si="6"/>
        <v>0.4</v>
      </c>
      <c r="E24" s="56">
        <f t="shared" si="6"/>
        <v>0.2</v>
      </c>
      <c r="F24" s="56">
        <f t="shared" si="6"/>
        <v>0</v>
      </c>
      <c r="G24" s="56">
        <f t="shared" si="6"/>
        <v>0.1</v>
      </c>
      <c r="H24" s="56">
        <f t="shared" si="6"/>
        <v>0</v>
      </c>
      <c r="I24" s="56">
        <f t="shared" si="6"/>
        <v>0</v>
      </c>
    </row>
    <row r="25">
      <c r="A25" s="36">
        <f>average(E5:E14)</f>
        <v>2.7</v>
      </c>
      <c r="B25" s="28" t="s">
        <v>34</v>
      </c>
      <c r="C25" s="56">
        <f t="shared" ref="C25:I25" si="7">C19/10</f>
        <v>0.1</v>
      </c>
      <c r="D25" s="56">
        <f t="shared" si="7"/>
        <v>0.2</v>
      </c>
      <c r="E25" s="56">
        <f t="shared" si="7"/>
        <v>0.2</v>
      </c>
      <c r="F25" s="56">
        <f t="shared" si="7"/>
        <v>0.2</v>
      </c>
      <c r="G25" s="56">
        <f t="shared" si="7"/>
        <v>0.1</v>
      </c>
      <c r="H25" s="56">
        <f t="shared" si="7"/>
        <v>0.1</v>
      </c>
      <c r="I25" s="56">
        <f t="shared" si="7"/>
        <v>0.1</v>
      </c>
    </row>
    <row r="27">
      <c r="A27" s="71" t="s">
        <v>64</v>
      </c>
      <c r="B27" s="73"/>
      <c r="C27" s="8"/>
      <c r="D27" s="8"/>
      <c r="E27" s="8"/>
      <c r="F27" s="8"/>
      <c r="G27" s="8"/>
      <c r="H27" s="8"/>
      <c r="I27" s="8"/>
    </row>
    <row r="28">
      <c r="A28" s="73"/>
      <c r="B28" s="75" t="s">
        <v>65</v>
      </c>
      <c r="C28" s="8"/>
      <c r="D28" s="8"/>
      <c r="E28" s="8"/>
      <c r="F28" s="8"/>
      <c r="G28" s="8"/>
      <c r="H28" s="8"/>
      <c r="I28" s="8"/>
    </row>
    <row r="29">
      <c r="A29" s="8" t="s">
        <v>62</v>
      </c>
      <c r="B29" s="26" t="s">
        <v>43</v>
      </c>
      <c r="C29" s="14">
        <v>0.0</v>
      </c>
      <c r="D29" s="14">
        <v>1.0</v>
      </c>
      <c r="E29" s="14">
        <v>2.0</v>
      </c>
      <c r="F29" s="14">
        <v>3.0</v>
      </c>
      <c r="G29" s="14">
        <v>4.0</v>
      </c>
      <c r="H29" s="14">
        <v>5.0</v>
      </c>
      <c r="I29" s="15">
        <v>6.0</v>
      </c>
    </row>
    <row r="30">
      <c r="A30" s="36">
        <v>1.5</v>
      </c>
      <c r="B30" s="16" t="s">
        <v>27</v>
      </c>
      <c r="C30" s="76">
        <f t="shared" ref="C30:I30" si="8">POISSON(C29,$A$30,False)</f>
        <v>0.2231301601</v>
      </c>
      <c r="D30" s="76">
        <f t="shared" si="8"/>
        <v>0.3346952402</v>
      </c>
      <c r="E30" s="76">
        <f t="shared" si="8"/>
        <v>0.2510214302</v>
      </c>
      <c r="F30" s="76">
        <f t="shared" si="8"/>
        <v>0.1255107151</v>
      </c>
      <c r="G30" s="76">
        <f t="shared" si="8"/>
        <v>0.04706651816</v>
      </c>
      <c r="H30" s="76">
        <f t="shared" si="8"/>
        <v>0.01411995545</v>
      </c>
      <c r="I30" s="76">
        <f t="shared" si="8"/>
        <v>0.003529988862</v>
      </c>
    </row>
    <row r="31">
      <c r="A31" s="36">
        <v>1.2</v>
      </c>
      <c r="B31" s="78" t="s">
        <v>31</v>
      </c>
      <c r="C31" s="76">
        <f t="shared" ref="C31:I31" si="9">POISSON(C29,$A$31,False)</f>
        <v>0.3011942119</v>
      </c>
      <c r="D31" s="76">
        <f t="shared" si="9"/>
        <v>0.3614330543</v>
      </c>
      <c r="E31" s="76">
        <f t="shared" si="9"/>
        <v>0.2168598326</v>
      </c>
      <c r="F31" s="76">
        <f t="shared" si="9"/>
        <v>0.08674393303</v>
      </c>
      <c r="G31" s="76">
        <f t="shared" si="9"/>
        <v>0.02602317991</v>
      </c>
      <c r="H31" s="76">
        <f t="shared" si="9"/>
        <v>0.006245563178</v>
      </c>
      <c r="I31" s="76">
        <f t="shared" si="9"/>
        <v>0.001249112636</v>
      </c>
    </row>
    <row r="32">
      <c r="A32" s="36">
        <v>2.7</v>
      </c>
      <c r="B32" s="28" t="s">
        <v>34</v>
      </c>
      <c r="C32" s="84">
        <f t="shared" ref="C32:I32" si="10">POISSON(C29,$A$32,False)</f>
        <v>0.06720551274</v>
      </c>
      <c r="D32" s="84">
        <f t="shared" si="10"/>
        <v>0.1814548844</v>
      </c>
      <c r="E32" s="84">
        <f t="shared" si="10"/>
        <v>0.2449640939</v>
      </c>
      <c r="F32" s="84">
        <f t="shared" si="10"/>
        <v>0.2204676845</v>
      </c>
      <c r="G32" s="84">
        <f t="shared" si="10"/>
        <v>0.1488156871</v>
      </c>
      <c r="H32" s="84">
        <f t="shared" si="10"/>
        <v>0.08036047102</v>
      </c>
      <c r="I32" s="84">
        <f t="shared" si="10"/>
        <v>0.03616221196</v>
      </c>
    </row>
    <row r="33">
      <c r="C33" s="87"/>
      <c r="D33" s="87"/>
      <c r="E33" s="87"/>
      <c r="F33" s="87"/>
      <c r="G33" s="87"/>
      <c r="H33" s="87"/>
      <c r="I33" s="87"/>
    </row>
    <row r="34">
      <c r="A34" s="25"/>
      <c r="B34" s="25"/>
      <c r="C34" s="88"/>
      <c r="D34" s="88"/>
      <c r="E34" s="88"/>
      <c r="F34" s="88"/>
      <c r="G34" s="88"/>
      <c r="H34" s="88"/>
      <c r="I34" s="88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B35" s="34"/>
      <c r="C35" s="93"/>
      <c r="D35" s="93"/>
      <c r="E35" s="93"/>
      <c r="F35" s="93"/>
      <c r="G35" s="93"/>
      <c r="H35" s="93"/>
      <c r="I35" s="93"/>
    </row>
    <row r="36">
      <c r="B36" s="26" t="s">
        <v>43</v>
      </c>
      <c r="C36" s="94">
        <v>0.0</v>
      </c>
      <c r="D36" s="94">
        <v>1.0</v>
      </c>
      <c r="E36" s="94">
        <v>2.0</v>
      </c>
      <c r="F36" s="94">
        <v>3.0</v>
      </c>
      <c r="G36" s="94">
        <v>4.0</v>
      </c>
      <c r="H36" s="94">
        <v>5.0</v>
      </c>
      <c r="I36" s="95">
        <v>6.0</v>
      </c>
    </row>
    <row r="37">
      <c r="B37" s="28" t="s">
        <v>34</v>
      </c>
      <c r="C37" s="84">
        <f t="shared" ref="C37:I37" si="11">C32</f>
        <v>0.06720551274</v>
      </c>
      <c r="D37" s="84">
        <f t="shared" si="11"/>
        <v>0.1814548844</v>
      </c>
      <c r="E37" s="84">
        <f t="shared" si="11"/>
        <v>0.2449640939</v>
      </c>
      <c r="F37" s="84">
        <f t="shared" si="11"/>
        <v>0.2204676845</v>
      </c>
      <c r="G37" s="84">
        <f t="shared" si="11"/>
        <v>0.1488156871</v>
      </c>
      <c r="H37" s="84">
        <f t="shared" si="11"/>
        <v>0.08036047102</v>
      </c>
      <c r="I37" s="99">
        <f t="shared" si="11"/>
        <v>0.03616221196</v>
      </c>
    </row>
    <row r="39">
      <c r="B39" s="42"/>
      <c r="C39" s="44" t="s">
        <v>52</v>
      </c>
      <c r="D39" s="41"/>
      <c r="E39" s="44" t="s">
        <v>53</v>
      </c>
      <c r="F39" s="41"/>
      <c r="G39" s="44" t="s">
        <v>54</v>
      </c>
      <c r="H39" s="41"/>
      <c r="I39" s="44" t="s">
        <v>55</v>
      </c>
      <c r="J39" s="41"/>
    </row>
    <row r="40">
      <c r="B40" s="47" t="s">
        <v>56</v>
      </c>
      <c r="C40" s="48" t="s">
        <v>58</v>
      </c>
      <c r="D40" s="49" t="s">
        <v>59</v>
      </c>
      <c r="E40" s="48" t="s">
        <v>58</v>
      </c>
      <c r="F40" s="49" t="s">
        <v>59</v>
      </c>
      <c r="G40" s="48" t="s">
        <v>58</v>
      </c>
      <c r="H40" s="49" t="s">
        <v>59</v>
      </c>
      <c r="I40" s="50" t="s">
        <v>58</v>
      </c>
      <c r="J40" s="46" t="s">
        <v>59</v>
      </c>
    </row>
    <row r="41">
      <c r="A41" s="2"/>
      <c r="B41" s="100">
        <v>1.5</v>
      </c>
      <c r="C41" s="102">
        <f>1-D41</f>
        <v>0.7513396029</v>
      </c>
      <c r="D41" s="103">
        <f>sum(C37:D37)</f>
        <v>0.2486603971</v>
      </c>
      <c r="E41" s="50">
        <f t="shared" ref="E41:F41" si="12">1/C41</f>
        <v>1.330956063</v>
      </c>
      <c r="F41" s="46">
        <f t="shared" si="12"/>
        <v>4.021549115</v>
      </c>
      <c r="G41" s="50">
        <f t="shared" ref="G41:H41" si="13">E41-1</f>
        <v>0.3309560633</v>
      </c>
      <c r="H41" s="46">
        <f t="shared" si="13"/>
        <v>3.021549115</v>
      </c>
      <c r="I41" s="50">
        <f t="shared" ref="I41:J41" si="14">If(G41&lt;=1,G41,-1/G41)</f>
        <v>0.3309560633</v>
      </c>
      <c r="J41" s="50">
        <f t="shared" si="14"/>
        <v>-0.3309560633</v>
      </c>
    </row>
    <row r="43">
      <c r="A43" s="106"/>
      <c r="B43" s="106"/>
      <c r="C43" s="107"/>
      <c r="D43" s="107"/>
      <c r="E43" s="107"/>
      <c r="F43" s="107"/>
      <c r="G43" s="107"/>
      <c r="H43" s="107"/>
      <c r="I43" s="107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" t="s">
        <v>68</v>
      </c>
      <c r="B44" s="109"/>
      <c r="C44" s="110"/>
      <c r="D44" s="110"/>
      <c r="E44" s="110"/>
      <c r="F44" s="110"/>
      <c r="G44" s="110"/>
      <c r="H44" s="110"/>
      <c r="I44" s="110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>
      <c r="A45" s="2"/>
      <c r="B45" s="109"/>
      <c r="C45" s="110"/>
      <c r="D45" s="110"/>
      <c r="E45" s="110"/>
      <c r="F45" s="110"/>
      <c r="G45" s="110"/>
      <c r="H45" s="110"/>
      <c r="I45" s="110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>
      <c r="A46" s="64"/>
      <c r="B46" s="26" t="s">
        <v>43</v>
      </c>
      <c r="C46" s="14">
        <v>0.0</v>
      </c>
      <c r="D46" s="14">
        <v>1.0</v>
      </c>
      <c r="E46" s="14">
        <v>2.0</v>
      </c>
      <c r="F46" s="14">
        <v>3.0</v>
      </c>
      <c r="G46" s="14">
        <v>4.0</v>
      </c>
      <c r="H46" s="14">
        <v>5.0</v>
      </c>
      <c r="I46" s="15">
        <v>6.0</v>
      </c>
    </row>
    <row r="47">
      <c r="A47" s="64"/>
      <c r="B47" s="16" t="s">
        <v>27</v>
      </c>
      <c r="C47" s="76">
        <f t="shared" ref="C47:I47" si="15">C30</f>
        <v>0.2231301601</v>
      </c>
      <c r="D47" s="76">
        <f t="shared" si="15"/>
        <v>0.3346952402</v>
      </c>
      <c r="E47" s="76">
        <f t="shared" si="15"/>
        <v>0.2510214302</v>
      </c>
      <c r="F47" s="76">
        <f t="shared" si="15"/>
        <v>0.1255107151</v>
      </c>
      <c r="G47" s="76">
        <f t="shared" si="15"/>
        <v>0.04706651816</v>
      </c>
      <c r="H47" s="76">
        <f t="shared" si="15"/>
        <v>0.01411995545</v>
      </c>
      <c r="I47" s="119">
        <f t="shared" si="15"/>
        <v>0.003529988862</v>
      </c>
    </row>
    <row r="48">
      <c r="A48" s="64"/>
      <c r="B48" s="21" t="s">
        <v>31</v>
      </c>
      <c r="C48" s="120">
        <f t="shared" ref="C48:I48" si="16">C31</f>
        <v>0.3011942119</v>
      </c>
      <c r="D48" s="120">
        <f t="shared" si="16"/>
        <v>0.3614330543</v>
      </c>
      <c r="E48" s="120">
        <f t="shared" si="16"/>
        <v>0.2168598326</v>
      </c>
      <c r="F48" s="120">
        <f t="shared" si="16"/>
        <v>0.08674393303</v>
      </c>
      <c r="G48" s="120">
        <f t="shared" si="16"/>
        <v>0.02602317991</v>
      </c>
      <c r="H48" s="120">
        <f t="shared" si="16"/>
        <v>0.006245563178</v>
      </c>
      <c r="I48" s="124">
        <f t="shared" si="16"/>
        <v>0.001249112636</v>
      </c>
    </row>
    <row r="49">
      <c r="A49" s="64"/>
      <c r="B49" s="64"/>
      <c r="C49" s="125"/>
      <c r="D49" s="125"/>
      <c r="E49" s="125"/>
      <c r="F49" s="125"/>
      <c r="G49" s="125"/>
      <c r="H49" s="125"/>
      <c r="I49" s="125"/>
    </row>
    <row r="50">
      <c r="A50" s="64"/>
      <c r="B50" s="64"/>
      <c r="C50" s="11" t="s">
        <v>31</v>
      </c>
    </row>
    <row r="51">
      <c r="A51" s="64"/>
      <c r="B51" s="65" t="s">
        <v>43</v>
      </c>
      <c r="C51" s="66">
        <v>0.0</v>
      </c>
      <c r="D51" s="66">
        <v>1.0</v>
      </c>
      <c r="E51" s="66">
        <v>2.0</v>
      </c>
      <c r="F51" s="66">
        <v>3.0</v>
      </c>
      <c r="G51" s="66">
        <v>4.0</v>
      </c>
      <c r="H51" s="66">
        <v>5.0</v>
      </c>
      <c r="I51" s="67">
        <v>6.0</v>
      </c>
    </row>
    <row r="52">
      <c r="A52" s="68" t="s">
        <v>27</v>
      </c>
      <c r="B52" s="69">
        <v>0.0</v>
      </c>
      <c r="C52" s="87">
        <f t="shared" ref="C52:I52" si="17">hLOOKUP(C$51,$C$46:$I$48,3) * HLOOKUP($B52,$C$46:$I$48,2)</f>
        <v>0.06720551274</v>
      </c>
      <c r="D52" s="87">
        <f t="shared" si="17"/>
        <v>0.08064661529</v>
      </c>
      <c r="E52" s="87">
        <f t="shared" si="17"/>
        <v>0.04838796917</v>
      </c>
      <c r="F52" s="87">
        <f t="shared" si="17"/>
        <v>0.01935518767</v>
      </c>
      <c r="G52" s="87">
        <f t="shared" si="17"/>
        <v>0.005806556301</v>
      </c>
      <c r="H52" s="87">
        <f t="shared" si="17"/>
        <v>0.001393573512</v>
      </c>
      <c r="I52" s="87">
        <f t="shared" si="17"/>
        <v>0.0002787147024</v>
      </c>
    </row>
    <row r="53">
      <c r="B53" s="69">
        <v>1.0</v>
      </c>
      <c r="C53" s="87">
        <f t="shared" ref="C53:I53" si="18">hLOOKUP(C$51,$C$46:$I$48,3) * HLOOKUP($B53,$C$46:$I$48,2)</f>
        <v>0.1008082691</v>
      </c>
      <c r="D53" s="87">
        <f t="shared" si="18"/>
        <v>0.1209699229</v>
      </c>
      <c r="E53" s="87">
        <f t="shared" si="18"/>
        <v>0.07258195376</v>
      </c>
      <c r="F53" s="87">
        <f t="shared" si="18"/>
        <v>0.0290327815</v>
      </c>
      <c r="G53" s="87">
        <f t="shared" si="18"/>
        <v>0.008709834451</v>
      </c>
      <c r="H53" s="87">
        <f t="shared" si="18"/>
        <v>0.002090360268</v>
      </c>
      <c r="I53" s="87">
        <f t="shared" si="18"/>
        <v>0.0004180720537</v>
      </c>
    </row>
    <row r="54">
      <c r="B54" s="69">
        <v>2.0</v>
      </c>
      <c r="C54" s="87">
        <f t="shared" ref="C54:I54" si="19">hLOOKUP(C$51,$C$46:$I$48,3) * HLOOKUP($B54,$C$46:$I$48,2)</f>
        <v>0.07560620183</v>
      </c>
      <c r="D54" s="87">
        <f t="shared" si="19"/>
        <v>0.0907274422</v>
      </c>
      <c r="E54" s="87">
        <f t="shared" si="19"/>
        <v>0.05443646532</v>
      </c>
      <c r="F54" s="87">
        <f t="shared" si="19"/>
        <v>0.02177458613</v>
      </c>
      <c r="G54" s="87">
        <f t="shared" si="19"/>
        <v>0.006532375838</v>
      </c>
      <c r="H54" s="87">
        <f t="shared" si="19"/>
        <v>0.001567770201</v>
      </c>
      <c r="I54" s="87">
        <f t="shared" si="19"/>
        <v>0.0003135540402</v>
      </c>
    </row>
    <row r="55">
      <c r="B55" s="69">
        <v>3.0</v>
      </c>
      <c r="C55" s="87">
        <f t="shared" ref="C55:I55" si="20">hLOOKUP(C$51,$C$46:$I$48,3) * HLOOKUP($B55,$C$46:$I$48,2)</f>
        <v>0.03780310092</v>
      </c>
      <c r="D55" s="87">
        <f t="shared" si="20"/>
        <v>0.0453637211</v>
      </c>
      <c r="E55" s="87">
        <f t="shared" si="20"/>
        <v>0.02721823266</v>
      </c>
      <c r="F55" s="87">
        <f t="shared" si="20"/>
        <v>0.01088729306</v>
      </c>
      <c r="G55" s="87">
        <f t="shared" si="20"/>
        <v>0.003266187919</v>
      </c>
      <c r="H55" s="87">
        <f t="shared" si="20"/>
        <v>0.0007838851006</v>
      </c>
      <c r="I55" s="87">
        <f t="shared" si="20"/>
        <v>0.0001567770201</v>
      </c>
    </row>
    <row r="56">
      <c r="B56" s="69">
        <v>4.0</v>
      </c>
      <c r="C56" s="87">
        <f t="shared" ref="C56:I56" si="21">hLOOKUP(C$51,$C$46:$I$48,3) * HLOOKUP($B56,$C$46:$I$48,2)</f>
        <v>0.01417616284</v>
      </c>
      <c r="D56" s="87">
        <f t="shared" si="21"/>
        <v>0.01701139541</v>
      </c>
      <c r="E56" s="87">
        <f t="shared" si="21"/>
        <v>0.01020683725</v>
      </c>
      <c r="F56" s="87">
        <f t="shared" si="21"/>
        <v>0.004082734899</v>
      </c>
      <c r="G56" s="87">
        <f t="shared" si="21"/>
        <v>0.00122482047</v>
      </c>
      <c r="H56" s="87">
        <f t="shared" si="21"/>
        <v>0.0002939569127</v>
      </c>
      <c r="I56" s="87">
        <f t="shared" si="21"/>
        <v>0.00005879138254</v>
      </c>
    </row>
    <row r="57">
      <c r="B57" s="69">
        <v>5.0</v>
      </c>
      <c r="C57" s="87">
        <f t="shared" ref="C57:I57" si="22">hLOOKUP(C$51,$C$46:$I$48,3) * HLOOKUP($B57,$C$46:$I$48,2)</f>
        <v>0.004252848853</v>
      </c>
      <c r="D57" s="87">
        <f t="shared" si="22"/>
        <v>0.005103418624</v>
      </c>
      <c r="E57" s="87">
        <f t="shared" si="22"/>
        <v>0.003062051174</v>
      </c>
      <c r="F57" s="87">
        <f t="shared" si="22"/>
        <v>0.00122482047</v>
      </c>
      <c r="G57" s="87">
        <f t="shared" si="22"/>
        <v>0.0003674461409</v>
      </c>
      <c r="H57" s="87">
        <f t="shared" si="22"/>
        <v>0.00008818707382</v>
      </c>
      <c r="I57" s="87">
        <f t="shared" si="22"/>
        <v>0.00001763741476</v>
      </c>
    </row>
    <row r="58">
      <c r="B58" s="104">
        <v>6.0</v>
      </c>
      <c r="C58" s="87">
        <f t="shared" ref="C58:I58" si="23">hLOOKUP(C$51,$C$46:$I$48,3) * HLOOKUP($B58,$C$46:$I$48,2)</f>
        <v>0.001063212213</v>
      </c>
      <c r="D58" s="87">
        <f t="shared" si="23"/>
        <v>0.001275854656</v>
      </c>
      <c r="E58" s="87">
        <f t="shared" si="23"/>
        <v>0.0007655127936</v>
      </c>
      <c r="F58" s="87">
        <f t="shared" si="23"/>
        <v>0.0003062051174</v>
      </c>
      <c r="G58" s="87">
        <f t="shared" si="23"/>
        <v>0.00009186153523</v>
      </c>
      <c r="H58" s="87">
        <f t="shared" si="23"/>
        <v>0.00002204676845</v>
      </c>
      <c r="I58" s="87">
        <f t="shared" si="23"/>
        <v>0.000004409353691</v>
      </c>
    </row>
    <row r="60">
      <c r="B60" s="42"/>
      <c r="C60" s="44" t="s">
        <v>52</v>
      </c>
      <c r="D60" s="41"/>
      <c r="E60" s="44" t="s">
        <v>53</v>
      </c>
      <c r="F60" s="41"/>
      <c r="G60" s="44" t="s">
        <v>54</v>
      </c>
      <c r="H60" s="41"/>
      <c r="I60" s="44" t="s">
        <v>55</v>
      </c>
      <c r="J60" s="41"/>
    </row>
    <row r="61">
      <c r="B61" s="47" t="s">
        <v>56</v>
      </c>
      <c r="C61" s="48" t="s">
        <v>58</v>
      </c>
      <c r="D61" s="49" t="s">
        <v>59</v>
      </c>
      <c r="E61" s="48" t="s">
        <v>58</v>
      </c>
      <c r="F61" s="49" t="s">
        <v>59</v>
      </c>
      <c r="G61" s="48" t="s">
        <v>58</v>
      </c>
      <c r="H61" s="49" t="s">
        <v>59</v>
      </c>
      <c r="I61" s="50" t="s">
        <v>58</v>
      </c>
      <c r="J61" s="46" t="s">
        <v>59</v>
      </c>
    </row>
    <row r="62">
      <c r="A62" s="2" t="s">
        <v>60</v>
      </c>
      <c r="B62" s="21">
        <v>1.5</v>
      </c>
      <c r="C62" s="120">
        <f>1-D62</f>
        <v>0.7513396029</v>
      </c>
      <c r="D62" s="124">
        <f>D52+C53+C52</f>
        <v>0.2486603971</v>
      </c>
      <c r="E62" s="62"/>
      <c r="F62" s="24"/>
      <c r="G62" s="62"/>
      <c r="H62" s="24"/>
      <c r="I62" s="62"/>
      <c r="J62" s="24"/>
    </row>
  </sheetData>
  <mergeCells count="10">
    <mergeCell ref="E60:F60"/>
    <mergeCell ref="G60:H60"/>
    <mergeCell ref="C39:D39"/>
    <mergeCell ref="E39:F39"/>
    <mergeCell ref="G39:H39"/>
    <mergeCell ref="I39:J39"/>
    <mergeCell ref="C50:I50"/>
    <mergeCell ref="A52:A58"/>
    <mergeCell ref="C60:D60"/>
    <mergeCell ref="I60:J6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4" max="4" width="14.38"/>
  </cols>
  <sheetData>
    <row r="1">
      <c r="A1" s="2" t="s">
        <v>44</v>
      </c>
      <c r="B1" s="38" t="s">
        <v>46</v>
      </c>
      <c r="C1" s="39"/>
    </row>
    <row r="3">
      <c r="B3" s="5" t="s">
        <v>12</v>
      </c>
      <c r="C3" s="8"/>
      <c r="D3" s="8"/>
      <c r="E3" s="8"/>
    </row>
    <row r="4">
      <c r="B4" s="13" t="s">
        <v>22</v>
      </c>
      <c r="C4" s="14" t="s">
        <v>27</v>
      </c>
      <c r="D4" s="15" t="s">
        <v>31</v>
      </c>
      <c r="E4" s="15" t="s">
        <v>34</v>
      </c>
    </row>
    <row r="5">
      <c r="B5" s="16">
        <v>1.0</v>
      </c>
      <c r="C5" s="8">
        <v>1.0</v>
      </c>
      <c r="D5" s="18">
        <v>2.0</v>
      </c>
      <c r="E5" s="20">
        <f t="shared" ref="E5:E14" si="1">C5+D5</f>
        <v>3</v>
      </c>
    </row>
    <row r="6">
      <c r="B6" s="16">
        <v>2.0</v>
      </c>
      <c r="C6" s="8">
        <v>4.0</v>
      </c>
      <c r="D6" s="18">
        <v>1.0</v>
      </c>
      <c r="E6" s="20">
        <f t="shared" si="1"/>
        <v>5</v>
      </c>
    </row>
    <row r="7">
      <c r="B7" s="16">
        <v>3.0</v>
      </c>
      <c r="C7" s="8">
        <v>1.0</v>
      </c>
      <c r="D7" s="18">
        <v>2.0</v>
      </c>
      <c r="E7" s="20">
        <f t="shared" si="1"/>
        <v>3</v>
      </c>
    </row>
    <row r="8">
      <c r="B8" s="16">
        <v>4.0</v>
      </c>
      <c r="C8" s="8">
        <v>1.0</v>
      </c>
      <c r="D8" s="18">
        <v>1.0</v>
      </c>
      <c r="E8" s="20">
        <f t="shared" si="1"/>
        <v>2</v>
      </c>
    </row>
    <row r="9">
      <c r="B9" s="16">
        <v>5.0</v>
      </c>
      <c r="C9" s="8">
        <v>2.0</v>
      </c>
      <c r="D9" s="18">
        <v>4.0</v>
      </c>
      <c r="E9" s="20">
        <f t="shared" si="1"/>
        <v>6</v>
      </c>
    </row>
    <row r="10">
      <c r="B10" s="16">
        <v>6.0</v>
      </c>
      <c r="C10" s="8">
        <v>0.0</v>
      </c>
      <c r="D10" s="18">
        <v>1.0</v>
      </c>
      <c r="E10" s="20">
        <f t="shared" si="1"/>
        <v>1</v>
      </c>
    </row>
    <row r="11">
      <c r="B11" s="16">
        <v>7.0</v>
      </c>
      <c r="C11" s="8">
        <v>2.0</v>
      </c>
      <c r="D11" s="18">
        <v>0.0</v>
      </c>
      <c r="E11" s="20">
        <f t="shared" si="1"/>
        <v>2</v>
      </c>
    </row>
    <row r="12">
      <c r="B12" s="16">
        <v>8.0</v>
      </c>
      <c r="C12" s="8">
        <v>1.0</v>
      </c>
      <c r="D12" s="18">
        <v>0.0</v>
      </c>
      <c r="E12" s="20">
        <f t="shared" si="1"/>
        <v>1</v>
      </c>
    </row>
    <row r="13">
      <c r="B13" s="16">
        <v>9.0</v>
      </c>
      <c r="C13" s="8">
        <v>0.0</v>
      </c>
      <c r="D13" s="18">
        <v>0.0</v>
      </c>
      <c r="E13" s="20">
        <f t="shared" si="1"/>
        <v>0</v>
      </c>
    </row>
    <row r="14">
      <c r="B14" s="21">
        <v>10.0</v>
      </c>
      <c r="C14" s="22">
        <v>3.0</v>
      </c>
      <c r="D14" s="23">
        <v>1.0</v>
      </c>
      <c r="E14" s="24">
        <f t="shared" si="1"/>
        <v>4</v>
      </c>
    </row>
    <row r="17">
      <c r="B17" s="59" t="s">
        <v>61</v>
      </c>
    </row>
    <row r="18">
      <c r="A18" s="8" t="s">
        <v>62</v>
      </c>
      <c r="B18" s="26" t="s">
        <v>43</v>
      </c>
      <c r="C18" s="14">
        <v>0.0</v>
      </c>
      <c r="D18" s="14">
        <v>1.0</v>
      </c>
      <c r="E18" s="14">
        <v>2.0</v>
      </c>
      <c r="F18" s="14">
        <v>3.0</v>
      </c>
      <c r="G18" s="14">
        <v>4.0</v>
      </c>
      <c r="H18" s="14">
        <v>5.0</v>
      </c>
      <c r="I18" s="15">
        <v>6.0</v>
      </c>
    </row>
    <row r="19">
      <c r="B19" s="16" t="s">
        <v>27</v>
      </c>
      <c r="C19" s="56"/>
      <c r="D19" s="56"/>
      <c r="E19" s="56"/>
      <c r="F19" s="56"/>
      <c r="G19" s="56"/>
      <c r="H19" s="56"/>
      <c r="I19" s="20"/>
    </row>
    <row r="20">
      <c r="B20" s="21" t="s">
        <v>31</v>
      </c>
      <c r="C20" s="62"/>
      <c r="D20" s="62"/>
      <c r="E20" s="62"/>
      <c r="F20" s="62"/>
      <c r="G20" s="62"/>
      <c r="H20" s="62"/>
      <c r="I20" s="24"/>
    </row>
    <row r="21">
      <c r="B21" s="34"/>
      <c r="C21" s="8"/>
      <c r="D21" s="8"/>
      <c r="E21" s="8"/>
      <c r="F21" s="8"/>
      <c r="G21" s="8"/>
      <c r="H21" s="8"/>
      <c r="I21" s="8"/>
    </row>
    <row r="22">
      <c r="A22" s="64"/>
      <c r="B22" s="64"/>
      <c r="C22" s="11" t="s">
        <v>31</v>
      </c>
    </row>
    <row r="23">
      <c r="A23" s="64"/>
      <c r="B23" s="65" t="s">
        <v>43</v>
      </c>
      <c r="C23" s="66">
        <v>0.0</v>
      </c>
      <c r="D23" s="66">
        <v>1.0</v>
      </c>
      <c r="E23" s="66">
        <v>2.0</v>
      </c>
      <c r="F23" s="66">
        <v>3.0</v>
      </c>
      <c r="G23" s="66">
        <v>4.0</v>
      </c>
      <c r="H23" s="66">
        <v>5.0</v>
      </c>
      <c r="I23" s="67">
        <v>6.0</v>
      </c>
    </row>
    <row r="24">
      <c r="A24" s="68" t="s">
        <v>27</v>
      </c>
      <c r="B24" s="69">
        <v>0.0</v>
      </c>
      <c r="C24" s="70">
        <f>C$19*$C20</f>
        <v>0</v>
      </c>
      <c r="D24" s="70">
        <f>C$19*$D20</f>
        <v>0</v>
      </c>
      <c r="E24" s="70">
        <f>C$19*$E20</f>
        <v>0</v>
      </c>
      <c r="F24" s="70">
        <f>C$19*$F20</f>
        <v>0</v>
      </c>
      <c r="G24" s="70">
        <f>C$19*$G20</f>
        <v>0</v>
      </c>
      <c r="H24" s="70">
        <f>C$19*$H20</f>
        <v>0</v>
      </c>
      <c r="I24" s="72">
        <f>C$19*$I20</f>
        <v>0</v>
      </c>
    </row>
    <row r="25">
      <c r="B25" s="69">
        <v>1.0</v>
      </c>
      <c r="C25" s="70">
        <f>D$19*$C20</f>
        <v>0</v>
      </c>
      <c r="D25" s="70">
        <f>D$19*$D20</f>
        <v>0</v>
      </c>
      <c r="E25" s="70">
        <f>D$19*$E20</f>
        <v>0</v>
      </c>
      <c r="F25" s="70">
        <f>D$19*$F20</f>
        <v>0</v>
      </c>
      <c r="G25" s="70">
        <f>D$19*$G20</f>
        <v>0</v>
      </c>
      <c r="H25" s="70">
        <f>D$19*$H20</f>
        <v>0</v>
      </c>
      <c r="I25" s="72">
        <f>D$19*$I20</f>
        <v>0</v>
      </c>
    </row>
    <row r="26">
      <c r="B26" s="69">
        <v>2.0</v>
      </c>
      <c r="C26" s="70">
        <f>E$19*$C20</f>
        <v>0</v>
      </c>
      <c r="D26" s="70">
        <f>E$19*$D20</f>
        <v>0</v>
      </c>
      <c r="E26" s="70">
        <f>E$19*$E20</f>
        <v>0</v>
      </c>
      <c r="F26" s="70">
        <f>E$19*$F20</f>
        <v>0</v>
      </c>
      <c r="G26" s="70">
        <f>E$19*$G20</f>
        <v>0</v>
      </c>
      <c r="H26" s="70">
        <f>E$19*$H20</f>
        <v>0</v>
      </c>
      <c r="I26" s="72">
        <f>E$19*$I20</f>
        <v>0</v>
      </c>
    </row>
    <row r="27">
      <c r="B27" s="69">
        <v>3.0</v>
      </c>
      <c r="C27" s="70">
        <f>F$19*$C20</f>
        <v>0</v>
      </c>
      <c r="D27" s="70">
        <f>F$19*$D20</f>
        <v>0</v>
      </c>
      <c r="E27" s="70">
        <f>F$19*$E20</f>
        <v>0</v>
      </c>
      <c r="F27" s="70">
        <f>F$19*$F20</f>
        <v>0</v>
      </c>
      <c r="G27" s="70">
        <f>F$19*$G20</f>
        <v>0</v>
      </c>
      <c r="H27" s="70">
        <f>F$19*$H20</f>
        <v>0</v>
      </c>
      <c r="I27" s="72">
        <f>F$19*$I20</f>
        <v>0</v>
      </c>
    </row>
    <row r="28">
      <c r="B28" s="69">
        <v>4.0</v>
      </c>
      <c r="C28" s="70">
        <f>G$19*$C20</f>
        <v>0</v>
      </c>
      <c r="D28" s="70">
        <f>G$19*$D20</f>
        <v>0</v>
      </c>
      <c r="E28" s="70">
        <f>G$19*$E20</f>
        <v>0</v>
      </c>
      <c r="F28" s="70">
        <f>G$19*$F20</f>
        <v>0</v>
      </c>
      <c r="G28" s="70">
        <f>G$19*$G20</f>
        <v>0</v>
      </c>
      <c r="H28" s="70">
        <f>G$19*$H20</f>
        <v>0</v>
      </c>
      <c r="I28" s="72">
        <f>G$19*$I20</f>
        <v>0</v>
      </c>
    </row>
    <row r="29">
      <c r="B29" s="69">
        <v>5.0</v>
      </c>
      <c r="C29" s="70">
        <f>H$19*$C20</f>
        <v>0</v>
      </c>
      <c r="D29" s="70">
        <f>H$19*$D20</f>
        <v>0</v>
      </c>
      <c r="E29" s="70">
        <f>H$19*$E20</f>
        <v>0</v>
      </c>
      <c r="F29" s="70">
        <f>H$19*$F20</f>
        <v>0</v>
      </c>
      <c r="G29" s="70">
        <f>H$19*$G20</f>
        <v>0</v>
      </c>
      <c r="H29" s="70">
        <f>H$19*$H20</f>
        <v>0</v>
      </c>
      <c r="I29" s="72">
        <f>H$19*$I20</f>
        <v>0</v>
      </c>
    </row>
    <row r="30">
      <c r="B30" s="104">
        <v>6.0</v>
      </c>
      <c r="C30" s="105">
        <f>I$19*$C20</f>
        <v>0</v>
      </c>
      <c r="D30" s="105">
        <f>I$19*$D20</f>
        <v>0</v>
      </c>
      <c r="E30" s="105">
        <f>I$19*$E20</f>
        <v>0</v>
      </c>
      <c r="F30" s="105">
        <f>I$19*$F20</f>
        <v>0</v>
      </c>
      <c r="G30" s="105">
        <f>I$19*$G20</f>
        <v>0</v>
      </c>
      <c r="H30" s="105">
        <f>I$19*$H20</f>
        <v>0</v>
      </c>
      <c r="I30" s="108">
        <f>I$19*$I20</f>
        <v>0</v>
      </c>
    </row>
    <row r="32">
      <c r="B32" s="42"/>
      <c r="C32" s="112" t="s">
        <v>69</v>
      </c>
      <c r="D32" s="113"/>
      <c r="E32" s="114"/>
      <c r="F32" s="44" t="s">
        <v>52</v>
      </c>
      <c r="G32" s="41"/>
      <c r="H32" s="44" t="s">
        <v>53</v>
      </c>
      <c r="I32" s="41"/>
      <c r="J32" s="44" t="s">
        <v>54</v>
      </c>
      <c r="K32" s="41"/>
      <c r="L32" s="44" t="s">
        <v>55</v>
      </c>
      <c r="M32" s="41"/>
    </row>
    <row r="33">
      <c r="B33" s="47" t="s">
        <v>56</v>
      </c>
      <c r="C33" s="115" t="s">
        <v>70</v>
      </c>
      <c r="D33" s="116" t="s">
        <v>71</v>
      </c>
      <c r="E33" s="117" t="s">
        <v>72</v>
      </c>
      <c r="F33" s="48" t="s">
        <v>58</v>
      </c>
      <c r="G33" s="49" t="s">
        <v>59</v>
      </c>
      <c r="H33" s="48" t="s">
        <v>58</v>
      </c>
      <c r="I33" s="49" t="s">
        <v>59</v>
      </c>
      <c r="J33" s="48" t="s">
        <v>58</v>
      </c>
      <c r="K33" s="49" t="s">
        <v>59</v>
      </c>
      <c r="L33" s="50" t="s">
        <v>58</v>
      </c>
      <c r="M33" s="46" t="s">
        <v>59</v>
      </c>
    </row>
    <row r="34">
      <c r="A34" s="121" t="s">
        <v>73</v>
      </c>
      <c r="B34" s="21">
        <v>1.25</v>
      </c>
      <c r="C34" s="122"/>
      <c r="D34" s="122"/>
      <c r="E34" s="123"/>
      <c r="F34" s="62"/>
      <c r="G34" s="24"/>
      <c r="H34" s="62"/>
      <c r="I34" s="24"/>
      <c r="J34" s="62"/>
      <c r="K34" s="24"/>
      <c r="L34" s="62"/>
      <c r="M34" s="24"/>
    </row>
    <row r="36">
      <c r="A36" s="64"/>
      <c r="B36" s="64"/>
      <c r="C36" s="11" t="s">
        <v>31</v>
      </c>
    </row>
    <row r="37">
      <c r="A37" s="64"/>
      <c r="B37" s="65" t="s">
        <v>43</v>
      </c>
      <c r="C37" s="66">
        <v>0.0</v>
      </c>
      <c r="D37" s="66">
        <v>1.0</v>
      </c>
      <c r="E37" s="66">
        <v>2.0</v>
      </c>
      <c r="F37" s="66">
        <v>3.0</v>
      </c>
      <c r="G37" s="66">
        <v>4.0</v>
      </c>
      <c r="H37" s="66">
        <v>5.0</v>
      </c>
      <c r="I37" s="67">
        <v>6.0</v>
      </c>
    </row>
    <row r="38">
      <c r="A38" s="68" t="s">
        <v>27</v>
      </c>
      <c r="B38" s="69">
        <v>0.0</v>
      </c>
      <c r="C38" s="70">
        <f t="shared" ref="C38:I38" si="2">C24</f>
        <v>0</v>
      </c>
      <c r="D38" s="70">
        <f t="shared" si="2"/>
        <v>0</v>
      </c>
      <c r="E38" s="70">
        <f t="shared" si="2"/>
        <v>0</v>
      </c>
      <c r="F38" s="70">
        <f t="shared" si="2"/>
        <v>0</v>
      </c>
      <c r="G38" s="70">
        <f t="shared" si="2"/>
        <v>0</v>
      </c>
      <c r="H38" s="70">
        <f t="shared" si="2"/>
        <v>0</v>
      </c>
      <c r="I38" s="72">
        <f t="shared" si="2"/>
        <v>0</v>
      </c>
    </row>
    <row r="39">
      <c r="B39" s="69">
        <v>1.0</v>
      </c>
      <c r="C39" s="70">
        <f t="shared" ref="C39:I39" si="3">C25</f>
        <v>0</v>
      </c>
      <c r="D39" s="70">
        <f t="shared" si="3"/>
        <v>0</v>
      </c>
      <c r="E39" s="70">
        <f t="shared" si="3"/>
        <v>0</v>
      </c>
      <c r="F39" s="70">
        <f t="shared" si="3"/>
        <v>0</v>
      </c>
      <c r="G39" s="70">
        <f t="shared" si="3"/>
        <v>0</v>
      </c>
      <c r="H39" s="70">
        <f t="shared" si="3"/>
        <v>0</v>
      </c>
      <c r="I39" s="72">
        <f t="shared" si="3"/>
        <v>0</v>
      </c>
    </row>
    <row r="40">
      <c r="B40" s="69">
        <v>2.0</v>
      </c>
      <c r="C40" s="70">
        <f t="shared" ref="C40:I40" si="4">C26</f>
        <v>0</v>
      </c>
      <c r="D40" s="70">
        <f t="shared" si="4"/>
        <v>0</v>
      </c>
      <c r="E40" s="70">
        <f t="shared" si="4"/>
        <v>0</v>
      </c>
      <c r="F40" s="70">
        <f t="shared" si="4"/>
        <v>0</v>
      </c>
      <c r="G40" s="70">
        <f t="shared" si="4"/>
        <v>0</v>
      </c>
      <c r="H40" s="70">
        <f t="shared" si="4"/>
        <v>0</v>
      </c>
      <c r="I40" s="72">
        <f t="shared" si="4"/>
        <v>0</v>
      </c>
    </row>
    <row r="41">
      <c r="B41" s="69">
        <v>3.0</v>
      </c>
      <c r="C41" s="70">
        <f t="shared" ref="C41:I41" si="5">C27</f>
        <v>0</v>
      </c>
      <c r="D41" s="70">
        <f t="shared" si="5"/>
        <v>0</v>
      </c>
      <c r="E41" s="70">
        <f t="shared" si="5"/>
        <v>0</v>
      </c>
      <c r="F41" s="70">
        <f t="shared" si="5"/>
        <v>0</v>
      </c>
      <c r="G41" s="70">
        <f t="shared" si="5"/>
        <v>0</v>
      </c>
      <c r="H41" s="70">
        <f t="shared" si="5"/>
        <v>0</v>
      </c>
      <c r="I41" s="72">
        <f t="shared" si="5"/>
        <v>0</v>
      </c>
    </row>
    <row r="42">
      <c r="B42" s="69">
        <v>4.0</v>
      </c>
      <c r="C42" s="70">
        <f t="shared" ref="C42:I42" si="6">C28</f>
        <v>0</v>
      </c>
      <c r="D42" s="70">
        <f t="shared" si="6"/>
        <v>0</v>
      </c>
      <c r="E42" s="70">
        <f t="shared" si="6"/>
        <v>0</v>
      </c>
      <c r="F42" s="70">
        <f t="shared" si="6"/>
        <v>0</v>
      </c>
      <c r="G42" s="70">
        <f t="shared" si="6"/>
        <v>0</v>
      </c>
      <c r="H42" s="70">
        <f t="shared" si="6"/>
        <v>0</v>
      </c>
      <c r="I42" s="72">
        <f t="shared" si="6"/>
        <v>0</v>
      </c>
    </row>
    <row r="43">
      <c r="B43" s="69">
        <v>5.0</v>
      </c>
      <c r="C43" s="70">
        <f t="shared" ref="C43:I43" si="7">C29</f>
        <v>0</v>
      </c>
      <c r="D43" s="70">
        <f t="shared" si="7"/>
        <v>0</v>
      </c>
      <c r="E43" s="70">
        <f t="shared" si="7"/>
        <v>0</v>
      </c>
      <c r="F43" s="70">
        <f t="shared" si="7"/>
        <v>0</v>
      </c>
      <c r="G43" s="70">
        <f t="shared" si="7"/>
        <v>0</v>
      </c>
      <c r="H43" s="70">
        <f t="shared" si="7"/>
        <v>0</v>
      </c>
      <c r="I43" s="72">
        <f t="shared" si="7"/>
        <v>0</v>
      </c>
    </row>
    <row r="44">
      <c r="B44" s="104">
        <v>6.0</v>
      </c>
      <c r="C44" s="105">
        <f t="shared" ref="C44:I44" si="8">C30</f>
        <v>0</v>
      </c>
      <c r="D44" s="105">
        <f t="shared" si="8"/>
        <v>0</v>
      </c>
      <c r="E44" s="105">
        <f t="shared" si="8"/>
        <v>0</v>
      </c>
      <c r="F44" s="105">
        <f t="shared" si="8"/>
        <v>0</v>
      </c>
      <c r="G44" s="105">
        <f t="shared" si="8"/>
        <v>0</v>
      </c>
      <c r="H44" s="105">
        <f t="shared" si="8"/>
        <v>0</v>
      </c>
      <c r="I44" s="108">
        <f t="shared" si="8"/>
        <v>0</v>
      </c>
    </row>
    <row r="46">
      <c r="B46" s="42"/>
      <c r="C46" s="137" t="s">
        <v>74</v>
      </c>
      <c r="D46" s="113"/>
      <c r="E46" s="114"/>
      <c r="F46" s="44" t="s">
        <v>52</v>
      </c>
      <c r="G46" s="41"/>
      <c r="H46" s="44" t="s">
        <v>53</v>
      </c>
      <c r="I46" s="41"/>
      <c r="J46" s="44" t="s">
        <v>54</v>
      </c>
      <c r="K46" s="41"/>
      <c r="L46" s="44" t="s">
        <v>55</v>
      </c>
      <c r="M46" s="41"/>
    </row>
    <row r="47">
      <c r="B47" s="47" t="s">
        <v>56</v>
      </c>
      <c r="C47" s="115" t="s">
        <v>70</v>
      </c>
      <c r="D47" s="116" t="s">
        <v>71</v>
      </c>
      <c r="E47" s="117" t="s">
        <v>72</v>
      </c>
      <c r="F47" s="48" t="s">
        <v>58</v>
      </c>
      <c r="G47" s="49" t="s">
        <v>59</v>
      </c>
      <c r="H47" s="48" t="s">
        <v>58</v>
      </c>
      <c r="I47" s="49" t="s">
        <v>59</v>
      </c>
      <c r="J47" s="48" t="s">
        <v>58</v>
      </c>
      <c r="K47" s="49" t="s">
        <v>59</v>
      </c>
      <c r="L47" s="50" t="s">
        <v>58</v>
      </c>
      <c r="M47" s="46" t="s">
        <v>59</v>
      </c>
    </row>
    <row r="48">
      <c r="A48" s="121" t="s">
        <v>75</v>
      </c>
      <c r="B48" s="21">
        <v>1.75</v>
      </c>
      <c r="C48" s="122"/>
      <c r="D48" s="122"/>
      <c r="E48" s="123"/>
      <c r="F48" s="62"/>
      <c r="G48" s="24"/>
      <c r="H48" s="62"/>
      <c r="I48" s="24"/>
      <c r="J48" s="62"/>
      <c r="K48" s="24"/>
      <c r="L48" s="62"/>
      <c r="M48" s="24"/>
    </row>
    <row r="50">
      <c r="A50" s="106"/>
      <c r="B50" s="106"/>
      <c r="C50" s="107"/>
      <c r="D50" s="107"/>
      <c r="E50" s="107"/>
      <c r="F50" s="107"/>
      <c r="G50" s="107"/>
      <c r="H50" s="107"/>
      <c r="I50" s="107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64"/>
      <c r="B51" s="64"/>
      <c r="C51" s="125"/>
      <c r="D51" s="125"/>
      <c r="E51" s="125"/>
      <c r="F51" s="125"/>
      <c r="G51" s="125"/>
      <c r="H51" s="125"/>
      <c r="I51" s="125"/>
    </row>
    <row r="52">
      <c r="B52" s="143" t="s">
        <v>47</v>
      </c>
      <c r="C52" s="148" t="s">
        <v>78</v>
      </c>
      <c r="D52" s="142"/>
      <c r="E52" s="142"/>
      <c r="F52" s="142"/>
      <c r="G52" s="41"/>
      <c r="H52" s="35"/>
    </row>
    <row r="53">
      <c r="B53" s="152"/>
      <c r="C53" s="152"/>
      <c r="D53" s="154"/>
      <c r="E53" s="154"/>
      <c r="F53" s="154"/>
      <c r="G53" s="156"/>
      <c r="H53" s="35"/>
    </row>
    <row r="54">
      <c r="B54" s="117" t="s">
        <v>83</v>
      </c>
      <c r="C54" s="157"/>
      <c r="G54" s="158"/>
      <c r="H54" s="35"/>
    </row>
    <row r="55">
      <c r="B55" s="161" t="s">
        <v>84</v>
      </c>
      <c r="C55" s="157"/>
      <c r="G55" s="158"/>
      <c r="H55" s="35"/>
    </row>
    <row r="56">
      <c r="B56" s="115" t="s">
        <v>85</v>
      </c>
      <c r="C56" s="164"/>
      <c r="D56" s="154"/>
      <c r="E56" s="154"/>
      <c r="F56" s="154"/>
      <c r="G56" s="156"/>
      <c r="H56" s="35"/>
    </row>
    <row r="57">
      <c r="A57" s="64"/>
      <c r="B57" s="64"/>
      <c r="C57" s="11"/>
      <c r="D57" s="11"/>
      <c r="E57" s="11"/>
      <c r="F57" s="11"/>
      <c r="G57" s="11"/>
      <c r="H57" s="11"/>
      <c r="I57" s="11"/>
    </row>
    <row r="58">
      <c r="A58" s="106"/>
      <c r="B58" s="106"/>
      <c r="C58" s="107"/>
      <c r="D58" s="107"/>
      <c r="E58" s="107"/>
      <c r="F58" s="107"/>
      <c r="G58" s="107"/>
      <c r="H58" s="107"/>
      <c r="I58" s="107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64"/>
      <c r="B59" s="64"/>
      <c r="C59" s="11" t="s">
        <v>31</v>
      </c>
    </row>
    <row r="60">
      <c r="A60" s="64"/>
      <c r="B60" s="65" t="s">
        <v>43</v>
      </c>
      <c r="C60" s="66">
        <v>0.0</v>
      </c>
      <c r="D60" s="66">
        <v>1.0</v>
      </c>
      <c r="E60" s="66">
        <v>2.0</v>
      </c>
      <c r="F60" s="66">
        <v>3.0</v>
      </c>
      <c r="G60" s="66">
        <v>4.0</v>
      </c>
      <c r="H60" s="66">
        <v>5.0</v>
      </c>
      <c r="I60" s="67">
        <v>6.0</v>
      </c>
    </row>
    <row r="61">
      <c r="A61" s="68" t="s">
        <v>27</v>
      </c>
      <c r="B61" s="69">
        <v>0.0</v>
      </c>
      <c r="C61" s="70">
        <f t="shared" ref="C61:I61" si="9">C24</f>
        <v>0</v>
      </c>
      <c r="D61" s="70">
        <f t="shared" si="9"/>
        <v>0</v>
      </c>
      <c r="E61" s="70">
        <f t="shared" si="9"/>
        <v>0</v>
      </c>
      <c r="F61" s="70">
        <f t="shared" si="9"/>
        <v>0</v>
      </c>
      <c r="G61" s="70">
        <f t="shared" si="9"/>
        <v>0</v>
      </c>
      <c r="H61" s="70">
        <f t="shared" si="9"/>
        <v>0</v>
      </c>
      <c r="I61" s="72">
        <f t="shared" si="9"/>
        <v>0</v>
      </c>
    </row>
    <row r="62">
      <c r="B62" s="69">
        <v>1.0</v>
      </c>
      <c r="C62" s="70">
        <f t="shared" ref="C62:I62" si="10">C25</f>
        <v>0</v>
      </c>
      <c r="D62" s="70">
        <f t="shared" si="10"/>
        <v>0</v>
      </c>
      <c r="E62" s="70">
        <f t="shared" si="10"/>
        <v>0</v>
      </c>
      <c r="F62" s="70">
        <f t="shared" si="10"/>
        <v>0</v>
      </c>
      <c r="G62" s="70">
        <f t="shared" si="10"/>
        <v>0</v>
      </c>
      <c r="H62" s="70">
        <f t="shared" si="10"/>
        <v>0</v>
      </c>
      <c r="I62" s="72">
        <f t="shared" si="10"/>
        <v>0</v>
      </c>
    </row>
    <row r="63">
      <c r="B63" s="69">
        <v>2.0</v>
      </c>
      <c r="C63" s="70">
        <f t="shared" ref="C63:I63" si="11">C26</f>
        <v>0</v>
      </c>
      <c r="D63" s="70">
        <f t="shared" si="11"/>
        <v>0</v>
      </c>
      <c r="E63" s="70">
        <f t="shared" si="11"/>
        <v>0</v>
      </c>
      <c r="F63" s="70">
        <f t="shared" si="11"/>
        <v>0</v>
      </c>
      <c r="G63" s="70">
        <f t="shared" si="11"/>
        <v>0</v>
      </c>
      <c r="H63" s="70">
        <f t="shared" si="11"/>
        <v>0</v>
      </c>
      <c r="I63" s="72">
        <f t="shared" si="11"/>
        <v>0</v>
      </c>
    </row>
    <row r="64">
      <c r="B64" s="69">
        <v>3.0</v>
      </c>
      <c r="C64" s="70">
        <f t="shared" ref="C64:I64" si="12">C27</f>
        <v>0</v>
      </c>
      <c r="D64" s="70">
        <f t="shared" si="12"/>
        <v>0</v>
      </c>
      <c r="E64" s="70">
        <f t="shared" si="12"/>
        <v>0</v>
      </c>
      <c r="F64" s="70">
        <f t="shared" si="12"/>
        <v>0</v>
      </c>
      <c r="G64" s="70">
        <f t="shared" si="12"/>
        <v>0</v>
      </c>
      <c r="H64" s="70">
        <f t="shared" si="12"/>
        <v>0</v>
      </c>
      <c r="I64" s="72">
        <f t="shared" si="12"/>
        <v>0</v>
      </c>
    </row>
    <row r="65">
      <c r="B65" s="69">
        <v>4.0</v>
      </c>
      <c r="C65" s="70">
        <f t="shared" ref="C65:I65" si="13">C28</f>
        <v>0</v>
      </c>
      <c r="D65" s="70">
        <f t="shared" si="13"/>
        <v>0</v>
      </c>
      <c r="E65" s="70">
        <f t="shared" si="13"/>
        <v>0</v>
      </c>
      <c r="F65" s="70">
        <f t="shared" si="13"/>
        <v>0</v>
      </c>
      <c r="G65" s="70">
        <f t="shared" si="13"/>
        <v>0</v>
      </c>
      <c r="H65" s="70">
        <f t="shared" si="13"/>
        <v>0</v>
      </c>
      <c r="I65" s="72">
        <f t="shared" si="13"/>
        <v>0</v>
      </c>
    </row>
    <row r="66">
      <c r="B66" s="69">
        <v>5.0</v>
      </c>
      <c r="C66" s="70">
        <f t="shared" ref="C66:I66" si="14">C29</f>
        <v>0</v>
      </c>
      <c r="D66" s="70">
        <f t="shared" si="14"/>
        <v>0</v>
      </c>
      <c r="E66" s="70">
        <f t="shared" si="14"/>
        <v>0</v>
      </c>
      <c r="F66" s="70">
        <f t="shared" si="14"/>
        <v>0</v>
      </c>
      <c r="G66" s="70">
        <f t="shared" si="14"/>
        <v>0</v>
      </c>
      <c r="H66" s="70">
        <f t="shared" si="14"/>
        <v>0</v>
      </c>
      <c r="I66" s="72">
        <f t="shared" si="14"/>
        <v>0</v>
      </c>
    </row>
    <row r="67">
      <c r="B67" s="104">
        <v>6.0</v>
      </c>
      <c r="C67" s="105">
        <f t="shared" ref="C67:I67" si="15">C30</f>
        <v>0</v>
      </c>
      <c r="D67" s="105">
        <f t="shared" si="15"/>
        <v>0</v>
      </c>
      <c r="E67" s="105">
        <f t="shared" si="15"/>
        <v>0</v>
      </c>
      <c r="F67" s="105">
        <f t="shared" si="15"/>
        <v>0</v>
      </c>
      <c r="G67" s="105">
        <f t="shared" si="15"/>
        <v>0</v>
      </c>
      <c r="H67" s="105">
        <f t="shared" si="15"/>
        <v>0</v>
      </c>
      <c r="I67" s="108">
        <f t="shared" si="15"/>
        <v>0</v>
      </c>
    </row>
    <row r="69">
      <c r="B69" s="42"/>
      <c r="C69" s="178" t="s">
        <v>91</v>
      </c>
      <c r="D69" s="142"/>
      <c r="E69" s="41"/>
      <c r="F69" s="44" t="s">
        <v>52</v>
      </c>
      <c r="G69" s="41"/>
      <c r="H69" s="44" t="s">
        <v>53</v>
      </c>
      <c r="I69" s="41"/>
      <c r="J69" s="44" t="s">
        <v>54</v>
      </c>
      <c r="K69" s="41"/>
      <c r="L69" s="44" t="s">
        <v>55</v>
      </c>
      <c r="M69" s="41"/>
    </row>
    <row r="70">
      <c r="B70" s="47" t="s">
        <v>56</v>
      </c>
      <c r="C70" s="183" t="s">
        <v>85</v>
      </c>
      <c r="D70" s="185" t="s">
        <v>84</v>
      </c>
      <c r="E70" s="186" t="s">
        <v>83</v>
      </c>
      <c r="F70" s="48" t="s">
        <v>58</v>
      </c>
      <c r="G70" s="49" t="s">
        <v>59</v>
      </c>
      <c r="H70" s="48" t="s">
        <v>58</v>
      </c>
      <c r="I70" s="49" t="s">
        <v>59</v>
      </c>
      <c r="J70" s="48" t="s">
        <v>58</v>
      </c>
      <c r="K70" s="49" t="s">
        <v>59</v>
      </c>
      <c r="L70" s="50" t="s">
        <v>58</v>
      </c>
      <c r="M70" s="46" t="s">
        <v>59</v>
      </c>
    </row>
    <row r="71">
      <c r="A71" s="121" t="s">
        <v>60</v>
      </c>
      <c r="B71" s="21">
        <v>1.5</v>
      </c>
      <c r="C71" s="122"/>
      <c r="D71" s="122"/>
      <c r="E71" s="123"/>
      <c r="F71" s="62"/>
      <c r="G71" s="24"/>
      <c r="H71" s="62"/>
      <c r="I71" s="24"/>
      <c r="J71" s="62"/>
      <c r="K71" s="24"/>
      <c r="L71" s="62"/>
      <c r="M71" s="24"/>
    </row>
    <row r="73">
      <c r="A73" s="64"/>
      <c r="B73" s="64"/>
      <c r="C73" s="11" t="s">
        <v>31</v>
      </c>
    </row>
    <row r="74">
      <c r="A74" s="64"/>
      <c r="B74" s="65" t="s">
        <v>43</v>
      </c>
      <c r="C74" s="66">
        <v>0.0</v>
      </c>
      <c r="D74" s="66">
        <v>1.0</v>
      </c>
      <c r="E74" s="66">
        <v>2.0</v>
      </c>
      <c r="F74" s="66">
        <v>3.0</v>
      </c>
      <c r="G74" s="66">
        <v>4.0</v>
      </c>
      <c r="H74" s="66">
        <v>5.0</v>
      </c>
      <c r="I74" s="67">
        <v>6.0</v>
      </c>
    </row>
    <row r="75">
      <c r="A75" s="68" t="s">
        <v>27</v>
      </c>
      <c r="B75" s="69">
        <v>0.0</v>
      </c>
      <c r="C75" s="70">
        <f t="shared" ref="C75:I75" si="16">C61</f>
        <v>0</v>
      </c>
      <c r="D75" s="70">
        <f t="shared" si="16"/>
        <v>0</v>
      </c>
      <c r="E75" s="70">
        <f t="shared" si="16"/>
        <v>0</v>
      </c>
      <c r="F75" s="70">
        <f t="shared" si="16"/>
        <v>0</v>
      </c>
      <c r="G75" s="70">
        <f t="shared" si="16"/>
        <v>0</v>
      </c>
      <c r="H75" s="70">
        <f t="shared" si="16"/>
        <v>0</v>
      </c>
      <c r="I75" s="72">
        <f t="shared" si="16"/>
        <v>0</v>
      </c>
    </row>
    <row r="76">
      <c r="B76" s="69">
        <v>1.0</v>
      </c>
      <c r="C76" s="70">
        <f t="shared" ref="C76:I76" si="17">C62</f>
        <v>0</v>
      </c>
      <c r="D76" s="70">
        <f t="shared" si="17"/>
        <v>0</v>
      </c>
      <c r="E76" s="70">
        <f t="shared" si="17"/>
        <v>0</v>
      </c>
      <c r="F76" s="70">
        <f t="shared" si="17"/>
        <v>0</v>
      </c>
      <c r="G76" s="70">
        <f t="shared" si="17"/>
        <v>0</v>
      </c>
      <c r="H76" s="70">
        <f t="shared" si="17"/>
        <v>0</v>
      </c>
      <c r="I76" s="72">
        <f t="shared" si="17"/>
        <v>0</v>
      </c>
    </row>
    <row r="77">
      <c r="B77" s="69">
        <v>2.0</v>
      </c>
      <c r="C77" s="70">
        <f t="shared" ref="C77:I77" si="18">C63</f>
        <v>0</v>
      </c>
      <c r="D77" s="70">
        <f t="shared" si="18"/>
        <v>0</v>
      </c>
      <c r="E77" s="70">
        <f t="shared" si="18"/>
        <v>0</v>
      </c>
      <c r="F77" s="70">
        <f t="shared" si="18"/>
        <v>0</v>
      </c>
      <c r="G77" s="70">
        <f t="shared" si="18"/>
        <v>0</v>
      </c>
      <c r="H77" s="70">
        <f t="shared" si="18"/>
        <v>0</v>
      </c>
      <c r="I77" s="72">
        <f t="shared" si="18"/>
        <v>0</v>
      </c>
    </row>
    <row r="78">
      <c r="B78" s="69">
        <v>3.0</v>
      </c>
      <c r="C78" s="70">
        <f t="shared" ref="C78:I78" si="19">C64</f>
        <v>0</v>
      </c>
      <c r="D78" s="70">
        <f t="shared" si="19"/>
        <v>0</v>
      </c>
      <c r="E78" s="70">
        <f t="shared" si="19"/>
        <v>0</v>
      </c>
      <c r="F78" s="70">
        <f t="shared" si="19"/>
        <v>0</v>
      </c>
      <c r="G78" s="70">
        <f t="shared" si="19"/>
        <v>0</v>
      </c>
      <c r="H78" s="70">
        <f t="shared" si="19"/>
        <v>0</v>
      </c>
      <c r="I78" s="72">
        <f t="shared" si="19"/>
        <v>0</v>
      </c>
    </row>
    <row r="79">
      <c r="B79" s="69">
        <v>4.0</v>
      </c>
      <c r="C79" s="70">
        <f t="shared" ref="C79:I79" si="20">C65</f>
        <v>0</v>
      </c>
      <c r="D79" s="70">
        <f t="shared" si="20"/>
        <v>0</v>
      </c>
      <c r="E79" s="70">
        <f t="shared" si="20"/>
        <v>0</v>
      </c>
      <c r="F79" s="70">
        <f t="shared" si="20"/>
        <v>0</v>
      </c>
      <c r="G79" s="70">
        <f t="shared" si="20"/>
        <v>0</v>
      </c>
      <c r="H79" s="70">
        <f t="shared" si="20"/>
        <v>0</v>
      </c>
      <c r="I79" s="72">
        <f t="shared" si="20"/>
        <v>0</v>
      </c>
    </row>
    <row r="80">
      <c r="B80" s="69">
        <v>5.0</v>
      </c>
      <c r="C80" s="70">
        <f t="shared" ref="C80:I80" si="21">C66</f>
        <v>0</v>
      </c>
      <c r="D80" s="70">
        <f t="shared" si="21"/>
        <v>0</v>
      </c>
      <c r="E80" s="70">
        <f t="shared" si="21"/>
        <v>0</v>
      </c>
      <c r="F80" s="70">
        <f t="shared" si="21"/>
        <v>0</v>
      </c>
      <c r="G80" s="70">
        <f t="shared" si="21"/>
        <v>0</v>
      </c>
      <c r="H80" s="70">
        <f t="shared" si="21"/>
        <v>0</v>
      </c>
      <c r="I80" s="72">
        <f t="shared" si="21"/>
        <v>0</v>
      </c>
    </row>
    <row r="81">
      <c r="B81" s="104">
        <v>6.0</v>
      </c>
      <c r="C81" s="105">
        <f t="shared" ref="C81:I81" si="22">C67</f>
        <v>0</v>
      </c>
      <c r="D81" s="105">
        <f t="shared" si="22"/>
        <v>0</v>
      </c>
      <c r="E81" s="105">
        <f t="shared" si="22"/>
        <v>0</v>
      </c>
      <c r="F81" s="105">
        <f t="shared" si="22"/>
        <v>0</v>
      </c>
      <c r="G81" s="105">
        <f t="shared" si="22"/>
        <v>0</v>
      </c>
      <c r="H81" s="105">
        <f t="shared" si="22"/>
        <v>0</v>
      </c>
      <c r="I81" s="108">
        <f t="shared" si="22"/>
        <v>0</v>
      </c>
    </row>
    <row r="83">
      <c r="B83" s="42"/>
      <c r="C83" s="178" t="s">
        <v>91</v>
      </c>
      <c r="D83" s="142"/>
      <c r="E83" s="41"/>
      <c r="F83" s="44" t="s">
        <v>52</v>
      </c>
      <c r="G83" s="41"/>
      <c r="H83" s="44" t="s">
        <v>53</v>
      </c>
      <c r="I83" s="41"/>
      <c r="J83" s="44" t="s">
        <v>54</v>
      </c>
      <c r="K83" s="41"/>
      <c r="L83" s="44" t="s">
        <v>55</v>
      </c>
      <c r="M83" s="41"/>
    </row>
    <row r="84">
      <c r="B84" s="47" t="s">
        <v>56</v>
      </c>
      <c r="C84" s="183" t="s">
        <v>85</v>
      </c>
      <c r="D84" s="185" t="s">
        <v>84</v>
      </c>
      <c r="E84" s="186" t="s">
        <v>83</v>
      </c>
      <c r="F84" s="48" t="s">
        <v>58</v>
      </c>
      <c r="G84" s="49" t="s">
        <v>59</v>
      </c>
      <c r="H84" s="48" t="s">
        <v>58</v>
      </c>
      <c r="I84" s="49" t="s">
        <v>59</v>
      </c>
      <c r="J84" s="48" t="s">
        <v>58</v>
      </c>
      <c r="K84" s="49" t="s">
        <v>59</v>
      </c>
      <c r="L84" s="50" t="s">
        <v>58</v>
      </c>
      <c r="M84" s="46" t="s">
        <v>59</v>
      </c>
    </row>
    <row r="85">
      <c r="A85" s="121" t="s">
        <v>66</v>
      </c>
      <c r="B85" s="21">
        <v>2.0</v>
      </c>
      <c r="C85" s="122"/>
      <c r="D85" s="122"/>
      <c r="E85" s="123"/>
      <c r="F85" s="62"/>
      <c r="G85" s="24"/>
      <c r="H85" s="62"/>
      <c r="I85" s="24"/>
      <c r="J85" s="62"/>
      <c r="K85" s="24"/>
      <c r="L85" s="62"/>
      <c r="M85" s="24"/>
    </row>
    <row r="87">
      <c r="A87" s="106"/>
      <c r="B87" s="106"/>
      <c r="C87" s="107"/>
      <c r="D87" s="107"/>
      <c r="E87" s="107"/>
      <c r="F87" s="107"/>
      <c r="G87" s="107"/>
      <c r="H87" s="107"/>
      <c r="I87" s="107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B88" s="35"/>
      <c r="C88" s="35"/>
      <c r="D88" s="35"/>
      <c r="E88" s="35"/>
      <c r="F88" s="35"/>
      <c r="G88" s="35"/>
      <c r="H88" s="35"/>
    </row>
    <row r="89">
      <c r="B89" s="199"/>
      <c r="C89" s="200" t="s">
        <v>92</v>
      </c>
      <c r="D89" s="142"/>
      <c r="E89" s="142"/>
      <c r="F89" s="142"/>
      <c r="G89" s="142"/>
      <c r="H89" s="41"/>
    </row>
    <row r="90">
      <c r="B90" s="201" t="s">
        <v>93</v>
      </c>
      <c r="C90" s="202" t="s">
        <v>58</v>
      </c>
      <c r="D90" s="154"/>
      <c r="E90" s="154"/>
      <c r="F90" s="202" t="s">
        <v>59</v>
      </c>
      <c r="G90" s="154"/>
      <c r="H90" s="156"/>
    </row>
    <row r="91">
      <c r="B91" s="204">
        <v>0.0</v>
      </c>
      <c r="C91" s="35"/>
      <c r="F91" s="35"/>
      <c r="H91" s="158"/>
    </row>
    <row r="92">
      <c r="B92" s="204">
        <v>0.25</v>
      </c>
      <c r="C92" s="35"/>
      <c r="F92" s="35"/>
      <c r="H92" s="158"/>
    </row>
    <row r="93">
      <c r="B93" s="204">
        <v>0.5</v>
      </c>
      <c r="C93" s="35"/>
      <c r="F93" s="35"/>
      <c r="H93" s="158"/>
    </row>
    <row r="94">
      <c r="B94" s="207">
        <v>0.75</v>
      </c>
      <c r="C94" s="209"/>
      <c r="D94" s="154"/>
      <c r="E94" s="154"/>
      <c r="F94" s="209"/>
      <c r="G94" s="154"/>
      <c r="H94" s="156"/>
    </row>
    <row r="95">
      <c r="B95" s="35"/>
      <c r="C95" s="35"/>
      <c r="D95" s="35"/>
      <c r="E95" s="35"/>
      <c r="F95" s="35"/>
      <c r="G95" s="35"/>
      <c r="H95" s="35"/>
    </row>
    <row r="96">
      <c r="B96" s="35"/>
      <c r="C96" s="35"/>
      <c r="D96" s="35"/>
      <c r="E96" s="35"/>
      <c r="F96" s="35"/>
      <c r="G96" s="35"/>
      <c r="H96" s="35"/>
    </row>
    <row r="97">
      <c r="B97" s="35"/>
      <c r="C97" s="35"/>
      <c r="D97" s="35"/>
      <c r="E97" s="35"/>
      <c r="F97" s="35"/>
      <c r="G97" s="35"/>
      <c r="H97" s="35"/>
    </row>
    <row r="98">
      <c r="B98" s="35"/>
      <c r="C98" s="35"/>
      <c r="D98" s="35"/>
      <c r="E98" s="35"/>
      <c r="F98" s="35"/>
      <c r="G98" s="35"/>
      <c r="H98" s="35"/>
    </row>
    <row r="99">
      <c r="B99" s="35"/>
      <c r="C99" s="35"/>
      <c r="D99" s="35"/>
      <c r="E99" s="35"/>
      <c r="F99" s="35"/>
      <c r="G99" s="35"/>
      <c r="H99" s="35"/>
    </row>
    <row r="100">
      <c r="A100" s="210"/>
      <c r="B100" s="211"/>
      <c r="C100" s="211" t="s">
        <v>95</v>
      </c>
      <c r="E100" s="211"/>
      <c r="F100" s="211"/>
      <c r="G100" s="211"/>
      <c r="H100" s="211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>
      <c r="A101" s="210"/>
      <c r="B101" s="211" t="s">
        <v>96</v>
      </c>
      <c r="C101" s="211" t="s">
        <v>97</v>
      </c>
      <c r="E101" s="211"/>
      <c r="F101" s="211"/>
      <c r="G101" s="211"/>
      <c r="H101" s="211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>
      <c r="A102" s="210"/>
      <c r="B102" s="211" t="s">
        <v>98</v>
      </c>
      <c r="C102" s="211" t="s">
        <v>99</v>
      </c>
      <c r="E102" s="211"/>
      <c r="F102" s="211"/>
      <c r="G102" s="211"/>
      <c r="H102" s="211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>
      <c r="A103" s="210"/>
      <c r="B103" s="211" t="s">
        <v>100</v>
      </c>
      <c r="C103" s="211" t="s">
        <v>101</v>
      </c>
      <c r="E103" s="211"/>
      <c r="F103" s="211"/>
      <c r="G103" s="211"/>
      <c r="H103" s="211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>
      <c r="A104" s="210"/>
      <c r="B104" s="211"/>
      <c r="C104" s="211"/>
      <c r="D104" s="211"/>
      <c r="E104" s="211"/>
      <c r="F104" s="211"/>
      <c r="G104" s="211"/>
      <c r="H104" s="211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>
      <c r="A105" s="210"/>
      <c r="B105" s="211"/>
      <c r="C105" s="211"/>
      <c r="D105" s="211"/>
      <c r="E105" s="211"/>
      <c r="F105" s="211"/>
      <c r="G105" s="211"/>
      <c r="H105" s="211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>
      <c r="A106" s="210"/>
      <c r="B106" s="211"/>
      <c r="C106" s="212" t="s">
        <v>92</v>
      </c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>
      <c r="A107" s="210"/>
      <c r="B107" s="211" t="s">
        <v>93</v>
      </c>
      <c r="C107" s="212" t="s">
        <v>58</v>
      </c>
      <c r="F107" s="212" t="s">
        <v>59</v>
      </c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>
      <c r="A108" s="210"/>
      <c r="B108" s="213">
        <v>0.0</v>
      </c>
      <c r="C108" s="211" t="s">
        <v>102</v>
      </c>
      <c r="F108" s="211" t="s">
        <v>103</v>
      </c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>
      <c r="A109" s="210"/>
      <c r="B109" s="213">
        <v>0.25</v>
      </c>
      <c r="C109" s="211" t="s">
        <v>104</v>
      </c>
      <c r="F109" s="211" t="s">
        <v>105</v>
      </c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>
      <c r="A110" s="210"/>
      <c r="B110" s="213">
        <v>0.5</v>
      </c>
      <c r="C110" s="211" t="s">
        <v>106</v>
      </c>
      <c r="F110" s="211" t="s">
        <v>107</v>
      </c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>
      <c r="A111" s="210"/>
      <c r="B111" s="213">
        <v>0.75</v>
      </c>
      <c r="C111" s="211" t="s">
        <v>108</v>
      </c>
      <c r="F111" s="211" t="s">
        <v>109</v>
      </c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</sheetData>
  <mergeCells count="59">
    <mergeCell ref="C110:E110"/>
    <mergeCell ref="C111:E111"/>
    <mergeCell ref="C107:E107"/>
    <mergeCell ref="F107:H107"/>
    <mergeCell ref="C108:E108"/>
    <mergeCell ref="F108:H108"/>
    <mergeCell ref="C109:E109"/>
    <mergeCell ref="F109:H109"/>
    <mergeCell ref="F110:H110"/>
    <mergeCell ref="F111:H111"/>
    <mergeCell ref="C22:I22"/>
    <mergeCell ref="C32:E32"/>
    <mergeCell ref="F32:G32"/>
    <mergeCell ref="H32:I32"/>
    <mergeCell ref="J32:K32"/>
    <mergeCell ref="L32:M32"/>
    <mergeCell ref="C36:I36"/>
    <mergeCell ref="A24:A30"/>
    <mergeCell ref="A38:A44"/>
    <mergeCell ref="C46:E46"/>
    <mergeCell ref="F46:G46"/>
    <mergeCell ref="H46:I46"/>
    <mergeCell ref="J46:K46"/>
    <mergeCell ref="L46:M46"/>
    <mergeCell ref="B52:B53"/>
    <mergeCell ref="C52:G53"/>
    <mergeCell ref="C54:G54"/>
    <mergeCell ref="C55:G55"/>
    <mergeCell ref="C56:G56"/>
    <mergeCell ref="C59:I59"/>
    <mergeCell ref="A61:A67"/>
    <mergeCell ref="C69:E69"/>
    <mergeCell ref="F69:G69"/>
    <mergeCell ref="H69:I69"/>
    <mergeCell ref="J69:K69"/>
    <mergeCell ref="L69:M69"/>
    <mergeCell ref="C73:I73"/>
    <mergeCell ref="A75:A81"/>
    <mergeCell ref="C83:E83"/>
    <mergeCell ref="F83:G83"/>
    <mergeCell ref="H83:I83"/>
    <mergeCell ref="J83:K83"/>
    <mergeCell ref="L83:M83"/>
    <mergeCell ref="C89:H89"/>
    <mergeCell ref="F90:H90"/>
    <mergeCell ref="C90:E90"/>
    <mergeCell ref="C91:E91"/>
    <mergeCell ref="F91:H91"/>
    <mergeCell ref="C92:E92"/>
    <mergeCell ref="F92:H92"/>
    <mergeCell ref="C93:E93"/>
    <mergeCell ref="F93:H93"/>
    <mergeCell ref="C94:E94"/>
    <mergeCell ref="F94:H94"/>
    <mergeCell ref="C100:D100"/>
    <mergeCell ref="C101:D101"/>
    <mergeCell ref="C102:D102"/>
    <mergeCell ref="C103:D103"/>
    <mergeCell ref="C106:H106"/>
  </mergeCells>
  <hyperlinks>
    <hyperlink r:id="rId1" location="slide=id.g13b03c07c85_1_0" ref="B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4" max="4" width="14.38"/>
  </cols>
  <sheetData>
    <row r="1">
      <c r="A1" s="2" t="s">
        <v>44</v>
      </c>
      <c r="B1" s="96" t="s">
        <v>46</v>
      </c>
      <c r="C1" s="39"/>
    </row>
    <row r="3">
      <c r="B3" s="5" t="s">
        <v>12</v>
      </c>
      <c r="C3" s="8"/>
      <c r="D3" s="8"/>
      <c r="E3" s="8"/>
    </row>
    <row r="4">
      <c r="B4" s="13" t="s">
        <v>22</v>
      </c>
      <c r="C4" s="14" t="s">
        <v>27</v>
      </c>
      <c r="D4" s="15" t="s">
        <v>31</v>
      </c>
      <c r="E4" s="15" t="s">
        <v>34</v>
      </c>
    </row>
    <row r="5">
      <c r="B5" s="16">
        <v>1.0</v>
      </c>
      <c r="C5" s="8">
        <v>1.0</v>
      </c>
      <c r="D5" s="18">
        <v>2.0</v>
      </c>
      <c r="E5" s="20">
        <f t="shared" ref="E5:E14" si="1">C5+D5</f>
        <v>3</v>
      </c>
    </row>
    <row r="6">
      <c r="B6" s="16">
        <v>2.0</v>
      </c>
      <c r="C6" s="8">
        <v>4.0</v>
      </c>
      <c r="D6" s="18">
        <v>1.0</v>
      </c>
      <c r="E6" s="20">
        <f t="shared" si="1"/>
        <v>5</v>
      </c>
    </row>
    <row r="7">
      <c r="B7" s="16">
        <v>3.0</v>
      </c>
      <c r="C7" s="8">
        <v>1.0</v>
      </c>
      <c r="D7" s="18">
        <v>2.0</v>
      </c>
      <c r="E7" s="20">
        <f t="shared" si="1"/>
        <v>3</v>
      </c>
    </row>
    <row r="8">
      <c r="B8" s="16">
        <v>4.0</v>
      </c>
      <c r="C8" s="8">
        <v>1.0</v>
      </c>
      <c r="D8" s="18">
        <v>1.0</v>
      </c>
      <c r="E8" s="20">
        <f t="shared" si="1"/>
        <v>2</v>
      </c>
    </row>
    <row r="9">
      <c r="B9" s="16">
        <v>5.0</v>
      </c>
      <c r="C9" s="8">
        <v>2.0</v>
      </c>
      <c r="D9" s="18">
        <v>4.0</v>
      </c>
      <c r="E9" s="20">
        <f t="shared" si="1"/>
        <v>6</v>
      </c>
    </row>
    <row r="10">
      <c r="B10" s="16">
        <v>6.0</v>
      </c>
      <c r="C10" s="8">
        <v>0.0</v>
      </c>
      <c r="D10" s="18">
        <v>1.0</v>
      </c>
      <c r="E10" s="20">
        <f t="shared" si="1"/>
        <v>1</v>
      </c>
    </row>
    <row r="11">
      <c r="B11" s="16">
        <v>7.0</v>
      </c>
      <c r="C11" s="8">
        <v>2.0</v>
      </c>
      <c r="D11" s="18">
        <v>0.0</v>
      </c>
      <c r="E11" s="20">
        <f t="shared" si="1"/>
        <v>2</v>
      </c>
    </row>
    <row r="12">
      <c r="B12" s="16">
        <v>8.0</v>
      </c>
      <c r="C12" s="8">
        <v>1.0</v>
      </c>
      <c r="D12" s="18">
        <v>0.0</v>
      </c>
      <c r="E12" s="20">
        <f t="shared" si="1"/>
        <v>1</v>
      </c>
    </row>
    <row r="13">
      <c r="B13" s="16">
        <v>9.0</v>
      </c>
      <c r="C13" s="8">
        <v>0.0</v>
      </c>
      <c r="D13" s="18">
        <v>0.0</v>
      </c>
      <c r="E13" s="20">
        <f t="shared" si="1"/>
        <v>0</v>
      </c>
    </row>
    <row r="14">
      <c r="B14" s="21">
        <v>10.0</v>
      </c>
      <c r="C14" s="22">
        <v>3.0</v>
      </c>
      <c r="D14" s="23">
        <v>1.0</v>
      </c>
      <c r="E14" s="24">
        <f t="shared" si="1"/>
        <v>4</v>
      </c>
    </row>
    <row r="17">
      <c r="B17" s="59" t="s">
        <v>61</v>
      </c>
    </row>
    <row r="18">
      <c r="A18" s="8" t="s">
        <v>67</v>
      </c>
      <c r="B18" s="26" t="s">
        <v>43</v>
      </c>
      <c r="C18" s="14">
        <v>0.0</v>
      </c>
      <c r="D18" s="14">
        <v>1.0</v>
      </c>
      <c r="E18" s="14">
        <v>2.0</v>
      </c>
      <c r="F18" s="14">
        <v>3.0</v>
      </c>
      <c r="G18" s="14">
        <v>4.0</v>
      </c>
      <c r="H18" s="14">
        <v>5.0</v>
      </c>
      <c r="I18" s="15">
        <v>6.0</v>
      </c>
    </row>
    <row r="19">
      <c r="A19" s="1">
        <f>AVERAGE(C5:C14)</f>
        <v>1.5</v>
      </c>
      <c r="B19" s="16" t="s">
        <v>27</v>
      </c>
      <c r="C19" s="56">
        <f t="shared" ref="C19:I19" si="2">POISSON(C18,$A$19,FALSE)</f>
        <v>0.2231301601</v>
      </c>
      <c r="D19" s="56">
        <f t="shared" si="2"/>
        <v>0.3346952402</v>
      </c>
      <c r="E19" s="56">
        <f t="shared" si="2"/>
        <v>0.2510214302</v>
      </c>
      <c r="F19" s="56">
        <f t="shared" si="2"/>
        <v>0.1255107151</v>
      </c>
      <c r="G19" s="56">
        <f t="shared" si="2"/>
        <v>0.04706651816</v>
      </c>
      <c r="H19" s="56">
        <f t="shared" si="2"/>
        <v>0.01411995545</v>
      </c>
      <c r="I19" s="56">
        <f t="shared" si="2"/>
        <v>0.003529988862</v>
      </c>
    </row>
    <row r="20">
      <c r="A20" s="1">
        <f>AVERAGE(D5:D14)</f>
        <v>1.2</v>
      </c>
      <c r="B20" s="21" t="s">
        <v>31</v>
      </c>
      <c r="C20" s="56">
        <f t="shared" ref="C20:I20" si="3">POISSON(C18,$A$20,FALSE)</f>
        <v>0.3011942119</v>
      </c>
      <c r="D20" s="56">
        <f t="shared" si="3"/>
        <v>0.3614330543</v>
      </c>
      <c r="E20" s="56">
        <f t="shared" si="3"/>
        <v>0.2168598326</v>
      </c>
      <c r="F20" s="56">
        <f t="shared" si="3"/>
        <v>0.08674393303</v>
      </c>
      <c r="G20" s="56">
        <f t="shared" si="3"/>
        <v>0.02602317991</v>
      </c>
      <c r="H20" s="56">
        <f t="shared" si="3"/>
        <v>0.006245563178</v>
      </c>
      <c r="I20" s="56">
        <f t="shared" si="3"/>
        <v>0.001249112636</v>
      </c>
    </row>
    <row r="21">
      <c r="B21" s="34"/>
      <c r="C21" s="8"/>
      <c r="D21" s="8"/>
      <c r="E21" s="8"/>
      <c r="F21" s="8"/>
      <c r="G21" s="8"/>
      <c r="H21" s="8"/>
      <c r="I21" s="8"/>
    </row>
    <row r="22">
      <c r="A22" s="64"/>
      <c r="B22" s="64"/>
      <c r="C22" s="11" t="s">
        <v>31</v>
      </c>
    </row>
    <row r="23">
      <c r="A23" s="64"/>
      <c r="B23" s="65" t="s">
        <v>43</v>
      </c>
      <c r="C23" s="66">
        <v>0.0</v>
      </c>
      <c r="D23" s="66">
        <v>1.0</v>
      </c>
      <c r="E23" s="66">
        <v>2.0</v>
      </c>
      <c r="F23" s="66">
        <v>3.0</v>
      </c>
      <c r="G23" s="66">
        <v>4.0</v>
      </c>
      <c r="H23" s="66">
        <v>5.0</v>
      </c>
      <c r="I23" s="67">
        <v>6.0</v>
      </c>
    </row>
    <row r="24">
      <c r="A24" s="68" t="s">
        <v>27</v>
      </c>
      <c r="B24" s="69">
        <v>0.0</v>
      </c>
      <c r="C24" s="126">
        <f t="shared" ref="C24:I24" si="4">$C$19*C$20</f>
        <v>0.06720551274</v>
      </c>
      <c r="D24" s="127">
        <f t="shared" si="4"/>
        <v>0.08064661529</v>
      </c>
      <c r="E24" s="127">
        <f t="shared" si="4"/>
        <v>0.04838796917</v>
      </c>
      <c r="F24" s="127">
        <f t="shared" si="4"/>
        <v>0.01935518767</v>
      </c>
      <c r="G24" s="127">
        <f t="shared" si="4"/>
        <v>0.005806556301</v>
      </c>
      <c r="H24" s="127">
        <f t="shared" si="4"/>
        <v>0.001393573512</v>
      </c>
      <c r="I24" s="129">
        <f t="shared" si="4"/>
        <v>0.0002787147024</v>
      </c>
    </row>
    <row r="25">
      <c r="B25" s="69">
        <v>1.0</v>
      </c>
      <c r="C25" s="132">
        <f t="shared" ref="C25:I25" si="5">$D$19*C$20</f>
        <v>0.1008082691</v>
      </c>
      <c r="D25" s="133">
        <f t="shared" si="5"/>
        <v>0.1209699229</v>
      </c>
      <c r="E25" s="134">
        <f t="shared" si="5"/>
        <v>0.07258195376</v>
      </c>
      <c r="F25" s="134">
        <f t="shared" si="5"/>
        <v>0.0290327815</v>
      </c>
      <c r="G25" s="134">
        <f t="shared" si="5"/>
        <v>0.008709834451</v>
      </c>
      <c r="H25" s="134">
        <f t="shared" si="5"/>
        <v>0.002090360268</v>
      </c>
      <c r="I25" s="135">
        <f t="shared" si="5"/>
        <v>0.0004180720537</v>
      </c>
    </row>
    <row r="26">
      <c r="B26" s="69">
        <v>2.0</v>
      </c>
      <c r="C26" s="132">
        <f t="shared" ref="C26:I26" si="6">$E$19*C$20</f>
        <v>0.07560620183</v>
      </c>
      <c r="D26" s="136">
        <f t="shared" si="6"/>
        <v>0.0907274422</v>
      </c>
      <c r="E26" s="133">
        <f t="shared" si="6"/>
        <v>0.05443646532</v>
      </c>
      <c r="F26" s="134">
        <f t="shared" si="6"/>
        <v>0.02177458613</v>
      </c>
      <c r="G26" s="134">
        <f t="shared" si="6"/>
        <v>0.006532375838</v>
      </c>
      <c r="H26" s="134">
        <f t="shared" si="6"/>
        <v>0.001567770201</v>
      </c>
      <c r="I26" s="135">
        <f t="shared" si="6"/>
        <v>0.0003135540402</v>
      </c>
    </row>
    <row r="27">
      <c r="B27" s="69">
        <v>3.0</v>
      </c>
      <c r="C27" s="132">
        <f t="shared" ref="C27:I27" si="7">$F$19*C$20</f>
        <v>0.03780310092</v>
      </c>
      <c r="D27" s="136">
        <f t="shared" si="7"/>
        <v>0.0453637211</v>
      </c>
      <c r="E27" s="136">
        <f t="shared" si="7"/>
        <v>0.02721823266</v>
      </c>
      <c r="F27" s="133">
        <f t="shared" si="7"/>
        <v>0.01088729306</v>
      </c>
      <c r="G27" s="134">
        <f t="shared" si="7"/>
        <v>0.003266187919</v>
      </c>
      <c r="H27" s="134">
        <f t="shared" si="7"/>
        <v>0.0007838851006</v>
      </c>
      <c r="I27" s="135">
        <f t="shared" si="7"/>
        <v>0.0001567770201</v>
      </c>
    </row>
    <row r="28">
      <c r="B28" s="69">
        <v>4.0</v>
      </c>
      <c r="C28" s="132">
        <f t="shared" ref="C28:I28" si="8">$G$19*C$20</f>
        <v>0.01417616284</v>
      </c>
      <c r="D28" s="136">
        <f t="shared" si="8"/>
        <v>0.01701139541</v>
      </c>
      <c r="E28" s="136">
        <f t="shared" si="8"/>
        <v>0.01020683725</v>
      </c>
      <c r="F28" s="136">
        <f t="shared" si="8"/>
        <v>0.004082734899</v>
      </c>
      <c r="G28" s="133">
        <f t="shared" si="8"/>
        <v>0.00122482047</v>
      </c>
      <c r="H28" s="134">
        <f t="shared" si="8"/>
        <v>0.0002939569127</v>
      </c>
      <c r="I28" s="135">
        <f t="shared" si="8"/>
        <v>0.00005879138254</v>
      </c>
    </row>
    <row r="29">
      <c r="B29" s="69">
        <v>5.0</v>
      </c>
      <c r="C29" s="132">
        <f t="shared" ref="C29:I29" si="9">$H$19*C$20</f>
        <v>0.004252848853</v>
      </c>
      <c r="D29" s="136">
        <f t="shared" si="9"/>
        <v>0.005103418624</v>
      </c>
      <c r="E29" s="136">
        <f t="shared" si="9"/>
        <v>0.003062051174</v>
      </c>
      <c r="F29" s="136">
        <f t="shared" si="9"/>
        <v>0.00122482047</v>
      </c>
      <c r="G29" s="136">
        <f t="shared" si="9"/>
        <v>0.0003674461409</v>
      </c>
      <c r="H29" s="133">
        <f t="shared" si="9"/>
        <v>0.00008818707382</v>
      </c>
      <c r="I29" s="135">
        <f t="shared" si="9"/>
        <v>0.00001763741476</v>
      </c>
    </row>
    <row r="30">
      <c r="B30" s="104">
        <v>6.0</v>
      </c>
      <c r="C30" s="150">
        <f t="shared" ref="C30:I30" si="10">$I$19*C$20</f>
        <v>0.001063212213</v>
      </c>
      <c r="D30" s="153">
        <f t="shared" si="10"/>
        <v>0.001275854656</v>
      </c>
      <c r="E30" s="153">
        <f t="shared" si="10"/>
        <v>0.0007655127936</v>
      </c>
      <c r="F30" s="153">
        <f t="shared" si="10"/>
        <v>0.0003062051174</v>
      </c>
      <c r="G30" s="153">
        <f t="shared" si="10"/>
        <v>0.00009186153523</v>
      </c>
      <c r="H30" s="153">
        <f t="shared" si="10"/>
        <v>0.00002204676845</v>
      </c>
      <c r="I30" s="162">
        <f t="shared" si="10"/>
        <v>0.000004409353691</v>
      </c>
    </row>
    <row r="32">
      <c r="B32" s="42"/>
      <c r="C32" s="112" t="s">
        <v>86</v>
      </c>
      <c r="D32" s="113"/>
      <c r="E32" s="114"/>
      <c r="F32" s="44" t="s">
        <v>52</v>
      </c>
      <c r="G32" s="41"/>
      <c r="H32" s="44" t="s">
        <v>53</v>
      </c>
      <c r="I32" s="41"/>
      <c r="J32" s="44" t="s">
        <v>54</v>
      </c>
      <c r="K32" s="41"/>
      <c r="L32" s="44" t="s">
        <v>55</v>
      </c>
      <c r="M32" s="41"/>
    </row>
    <row r="33">
      <c r="B33" s="100" t="s">
        <v>87</v>
      </c>
      <c r="C33" s="167" t="s">
        <v>70</v>
      </c>
      <c r="D33" s="168" t="s">
        <v>88</v>
      </c>
      <c r="E33" s="169" t="s">
        <v>72</v>
      </c>
      <c r="F33" s="170" t="s">
        <v>89</v>
      </c>
      <c r="G33" s="172" t="s">
        <v>90</v>
      </c>
      <c r="H33" s="170" t="s">
        <v>89</v>
      </c>
      <c r="I33" s="172" t="s">
        <v>90</v>
      </c>
      <c r="J33" s="170" t="s">
        <v>89</v>
      </c>
      <c r="K33" s="172" t="s">
        <v>90</v>
      </c>
      <c r="L33" s="170" t="s">
        <v>89</v>
      </c>
      <c r="M33" s="172" t="s">
        <v>90</v>
      </c>
    </row>
    <row r="34">
      <c r="A34" s="2"/>
      <c r="B34" s="173">
        <v>0.25</v>
      </c>
      <c r="C34" s="174">
        <f> 1 -D34 - E34</f>
        <v>0.4417162484</v>
      </c>
      <c r="D34" s="176">
        <f>sum(C24,D25,E26,F27,G28,H29,I30)</f>
        <v>0.254816611</v>
      </c>
      <c r="E34" s="180">
        <f>SUM(D24:I24,E25:I25,F26:I26,G27:I27,H28:I28,I29)</f>
        <v>0.3034671406</v>
      </c>
      <c r="F34" s="184">
        <f>C34/(C34+E34+D34*0.5)</f>
        <v>0.5062118413</v>
      </c>
      <c r="G34" s="188">
        <f>E34/(C34+E34+D34/0.5)</f>
        <v>0.2418418261</v>
      </c>
      <c r="H34" s="62"/>
      <c r="I34" s="24"/>
      <c r="J34" s="62"/>
      <c r="K34" s="24"/>
      <c r="L34" s="62"/>
      <c r="M34" s="24"/>
    </row>
    <row r="36">
      <c r="A36" s="64"/>
      <c r="B36" s="64"/>
      <c r="C36" s="11" t="s">
        <v>31</v>
      </c>
    </row>
    <row r="37">
      <c r="A37" s="64"/>
      <c r="B37" s="65" t="s">
        <v>43</v>
      </c>
      <c r="C37" s="66">
        <v>0.0</v>
      </c>
      <c r="D37" s="66">
        <v>1.0</v>
      </c>
      <c r="E37" s="66">
        <v>2.0</v>
      </c>
      <c r="F37" s="66">
        <v>3.0</v>
      </c>
      <c r="G37" s="66">
        <v>4.0</v>
      </c>
      <c r="H37" s="66">
        <v>5.0</v>
      </c>
      <c r="I37" s="67">
        <v>6.0</v>
      </c>
    </row>
    <row r="38">
      <c r="A38" s="68" t="s">
        <v>27</v>
      </c>
      <c r="B38" s="69">
        <v>0.0</v>
      </c>
      <c r="C38" s="190">
        <f t="shared" ref="C38:I38" si="11">C24</f>
        <v>0.06720551274</v>
      </c>
      <c r="D38" s="190">
        <f t="shared" si="11"/>
        <v>0.08064661529</v>
      </c>
      <c r="E38" s="190">
        <f t="shared" si="11"/>
        <v>0.04838796917</v>
      </c>
      <c r="F38" s="190">
        <f t="shared" si="11"/>
        <v>0.01935518767</v>
      </c>
      <c r="G38" s="190">
        <f t="shared" si="11"/>
        <v>0.005806556301</v>
      </c>
      <c r="H38" s="190">
        <f t="shared" si="11"/>
        <v>0.001393573512</v>
      </c>
      <c r="I38" s="191">
        <f t="shared" si="11"/>
        <v>0.0002787147024</v>
      </c>
    </row>
    <row r="39">
      <c r="B39" s="69">
        <v>1.0</v>
      </c>
      <c r="C39" s="192">
        <f t="shared" ref="C39:I39" si="12">C25</f>
        <v>0.1008082691</v>
      </c>
      <c r="D39" s="190">
        <f t="shared" si="12"/>
        <v>0.1209699229</v>
      </c>
      <c r="E39" s="190">
        <f t="shared" si="12"/>
        <v>0.07258195376</v>
      </c>
      <c r="F39" s="190">
        <f t="shared" si="12"/>
        <v>0.0290327815</v>
      </c>
      <c r="G39" s="190">
        <f t="shared" si="12"/>
        <v>0.008709834451</v>
      </c>
      <c r="H39" s="190">
        <f t="shared" si="12"/>
        <v>0.002090360268</v>
      </c>
      <c r="I39" s="191">
        <f t="shared" si="12"/>
        <v>0.0004180720537</v>
      </c>
      <c r="K39" s="194"/>
    </row>
    <row r="40">
      <c r="B40" s="69">
        <v>2.0</v>
      </c>
      <c r="C40" s="195">
        <f t="shared" ref="C40:I40" si="13">C26</f>
        <v>0.07560620183</v>
      </c>
      <c r="D40" s="192">
        <f t="shared" si="13"/>
        <v>0.0907274422</v>
      </c>
      <c r="E40" s="190">
        <f t="shared" si="13"/>
        <v>0.05443646532</v>
      </c>
      <c r="F40" s="190">
        <f t="shared" si="13"/>
        <v>0.02177458613</v>
      </c>
      <c r="G40" s="190">
        <f t="shared" si="13"/>
        <v>0.006532375838</v>
      </c>
      <c r="H40" s="190">
        <f t="shared" si="13"/>
        <v>0.001567770201</v>
      </c>
      <c r="I40" s="191">
        <f t="shared" si="13"/>
        <v>0.0003135540402</v>
      </c>
    </row>
    <row r="41">
      <c r="B41" s="69">
        <v>3.0</v>
      </c>
      <c r="C41" s="195">
        <f t="shared" ref="C41:I41" si="14">C27</f>
        <v>0.03780310092</v>
      </c>
      <c r="D41" s="195">
        <f t="shared" si="14"/>
        <v>0.0453637211</v>
      </c>
      <c r="E41" s="192">
        <f t="shared" si="14"/>
        <v>0.02721823266</v>
      </c>
      <c r="F41" s="190">
        <f t="shared" si="14"/>
        <v>0.01088729306</v>
      </c>
      <c r="G41" s="190">
        <f t="shared" si="14"/>
        <v>0.003266187919</v>
      </c>
      <c r="H41" s="190">
        <f t="shared" si="14"/>
        <v>0.0007838851006</v>
      </c>
      <c r="I41" s="191">
        <f t="shared" si="14"/>
        <v>0.0001567770201</v>
      </c>
    </row>
    <row r="42">
      <c r="B42" s="69">
        <v>4.0</v>
      </c>
      <c r="C42" s="195">
        <f t="shared" ref="C42:I42" si="15">C28</f>
        <v>0.01417616284</v>
      </c>
      <c r="D42" s="195">
        <f t="shared" si="15"/>
        <v>0.01701139541</v>
      </c>
      <c r="E42" s="195">
        <f t="shared" si="15"/>
        <v>0.01020683725</v>
      </c>
      <c r="F42" s="192">
        <f t="shared" si="15"/>
        <v>0.004082734899</v>
      </c>
      <c r="G42" s="190">
        <f t="shared" si="15"/>
        <v>0.00122482047</v>
      </c>
      <c r="H42" s="190">
        <f t="shared" si="15"/>
        <v>0.0002939569127</v>
      </c>
      <c r="I42" s="191">
        <f t="shared" si="15"/>
        <v>0.00005879138254</v>
      </c>
    </row>
    <row r="43">
      <c r="B43" s="69">
        <v>5.0</v>
      </c>
      <c r="C43" s="195">
        <f t="shared" ref="C43:I43" si="16">C29</f>
        <v>0.004252848853</v>
      </c>
      <c r="D43" s="195">
        <f t="shared" si="16"/>
        <v>0.005103418624</v>
      </c>
      <c r="E43" s="195">
        <f t="shared" si="16"/>
        <v>0.003062051174</v>
      </c>
      <c r="F43" s="195">
        <f t="shared" si="16"/>
        <v>0.00122482047</v>
      </c>
      <c r="G43" s="192">
        <f t="shared" si="16"/>
        <v>0.0003674461409</v>
      </c>
      <c r="H43" s="190">
        <f t="shared" si="16"/>
        <v>0.00008818707382</v>
      </c>
      <c r="I43" s="191">
        <f t="shared" si="16"/>
        <v>0.00001763741476</v>
      </c>
    </row>
    <row r="44">
      <c r="B44" s="104">
        <v>6.0</v>
      </c>
      <c r="C44" s="203">
        <f t="shared" ref="C44:I44" si="17">C30</f>
        <v>0.001063212213</v>
      </c>
      <c r="D44" s="203">
        <f t="shared" si="17"/>
        <v>0.001275854656</v>
      </c>
      <c r="E44" s="203">
        <f t="shared" si="17"/>
        <v>0.0007655127936</v>
      </c>
      <c r="F44" s="203">
        <f t="shared" si="17"/>
        <v>0.0003062051174</v>
      </c>
      <c r="G44" s="203">
        <f t="shared" si="17"/>
        <v>0.00009186153523</v>
      </c>
      <c r="H44" s="205">
        <f t="shared" si="17"/>
        <v>0.00002204676845</v>
      </c>
      <c r="I44" s="206">
        <f t="shared" si="17"/>
        <v>0.000004409353691</v>
      </c>
    </row>
    <row r="46">
      <c r="B46" s="42"/>
      <c r="C46" s="112" t="s">
        <v>86</v>
      </c>
      <c r="D46" s="113"/>
      <c r="E46" s="114"/>
      <c r="F46" s="44" t="s">
        <v>52</v>
      </c>
      <c r="G46" s="41"/>
      <c r="H46" s="44" t="s">
        <v>53</v>
      </c>
      <c r="I46" s="41"/>
      <c r="J46" s="44" t="s">
        <v>54</v>
      </c>
      <c r="K46" s="41"/>
      <c r="L46" s="44" t="s">
        <v>55</v>
      </c>
      <c r="M46" s="41"/>
    </row>
    <row r="47">
      <c r="B47" s="100" t="s">
        <v>87</v>
      </c>
      <c r="C47" s="183" t="s">
        <v>70</v>
      </c>
      <c r="D47" s="185" t="s">
        <v>94</v>
      </c>
      <c r="E47" s="186" t="s">
        <v>72</v>
      </c>
      <c r="F47" s="170" t="s">
        <v>89</v>
      </c>
      <c r="G47" s="172" t="s">
        <v>90</v>
      </c>
      <c r="H47" s="170" t="s">
        <v>89</v>
      </c>
      <c r="I47" s="172" t="s">
        <v>90</v>
      </c>
      <c r="J47" s="170" t="s">
        <v>89</v>
      </c>
      <c r="K47" s="172" t="s">
        <v>90</v>
      </c>
      <c r="L47" s="170" t="s">
        <v>89</v>
      </c>
      <c r="M47" s="172" t="s">
        <v>90</v>
      </c>
    </row>
    <row r="48">
      <c r="A48" s="2"/>
      <c r="B48" s="21">
        <v>0.75</v>
      </c>
      <c r="C48" s="105">
        <f>sum(C40:C44,D41:D44,E42:E44,F43:F44,G44)</f>
        <v>0.2173132048</v>
      </c>
      <c r="D48" s="105">
        <f>sum(C39,D40,E41,F42,G43,H44)</f>
        <v>0.2232261718</v>
      </c>
      <c r="E48" s="108">
        <f>SUM(C38:I38,D39:I39,E40:I40,F41:I41,G42:I42,H43:I43,I44)</f>
        <v>0.5582837516</v>
      </c>
      <c r="F48" s="184">
        <f>C48/(C48+E48+D48*0.5)</f>
        <v>0.2449399741</v>
      </c>
      <c r="G48" s="188">
        <f>E48/(C48+E48+D48*0.5)</f>
        <v>0.6292577011</v>
      </c>
      <c r="H48" s="62"/>
      <c r="I48" s="24"/>
      <c r="J48" s="62"/>
      <c r="K48" s="24"/>
      <c r="L48" s="62"/>
      <c r="M48" s="24"/>
    </row>
    <row r="50">
      <c r="A50" s="64"/>
      <c r="B50" s="64"/>
      <c r="C50" s="11" t="s">
        <v>31</v>
      </c>
    </row>
    <row r="51">
      <c r="A51" s="64"/>
      <c r="B51" s="65" t="s">
        <v>43</v>
      </c>
      <c r="C51" s="66">
        <v>0.0</v>
      </c>
      <c r="D51" s="66">
        <v>1.0</v>
      </c>
      <c r="E51" s="66">
        <v>2.0</v>
      </c>
      <c r="F51" s="66">
        <v>3.0</v>
      </c>
      <c r="G51" s="66">
        <v>4.0</v>
      </c>
      <c r="H51" s="66">
        <v>5.0</v>
      </c>
      <c r="I51" s="67">
        <v>6.0</v>
      </c>
    </row>
    <row r="52">
      <c r="A52" s="68" t="s">
        <v>27</v>
      </c>
      <c r="B52" s="69">
        <v>0.0</v>
      </c>
      <c r="C52" s="190">
        <f t="shared" ref="C52:I52" si="18">C38</f>
        <v>0.06720551274</v>
      </c>
      <c r="D52" s="190">
        <f t="shared" si="18"/>
        <v>0.08064661529</v>
      </c>
      <c r="E52" s="190">
        <f t="shared" si="18"/>
        <v>0.04838796917</v>
      </c>
      <c r="F52" s="190">
        <f t="shared" si="18"/>
        <v>0.01935518767</v>
      </c>
      <c r="G52" s="190">
        <f t="shared" si="18"/>
        <v>0.005806556301</v>
      </c>
      <c r="H52" s="190">
        <f t="shared" si="18"/>
        <v>0.001393573512</v>
      </c>
      <c r="I52" s="191">
        <f t="shared" si="18"/>
        <v>0.0002787147024</v>
      </c>
    </row>
    <row r="53">
      <c r="B53" s="69">
        <v>1.0</v>
      </c>
      <c r="C53" s="195">
        <f t="shared" ref="C53:I53" si="19">C39</f>
        <v>0.1008082691</v>
      </c>
      <c r="D53" s="190">
        <f t="shared" si="19"/>
        <v>0.1209699229</v>
      </c>
      <c r="E53" s="190">
        <f t="shared" si="19"/>
        <v>0.07258195376</v>
      </c>
      <c r="F53" s="190">
        <f t="shared" si="19"/>
        <v>0.0290327815</v>
      </c>
      <c r="G53" s="190">
        <f t="shared" si="19"/>
        <v>0.008709834451</v>
      </c>
      <c r="H53" s="190">
        <f t="shared" si="19"/>
        <v>0.002090360268</v>
      </c>
      <c r="I53" s="191">
        <f t="shared" si="19"/>
        <v>0.0004180720537</v>
      </c>
    </row>
    <row r="54">
      <c r="B54" s="69">
        <v>2.0</v>
      </c>
      <c r="C54" s="195">
        <f t="shared" ref="C54:I54" si="20">C40</f>
        <v>0.07560620183</v>
      </c>
      <c r="D54" s="195">
        <f t="shared" si="20"/>
        <v>0.0907274422</v>
      </c>
      <c r="E54" s="190">
        <f t="shared" si="20"/>
        <v>0.05443646532</v>
      </c>
      <c r="F54" s="190">
        <f t="shared" si="20"/>
        <v>0.02177458613</v>
      </c>
      <c r="G54" s="190">
        <f t="shared" si="20"/>
        <v>0.006532375838</v>
      </c>
      <c r="H54" s="190">
        <f t="shared" si="20"/>
        <v>0.001567770201</v>
      </c>
      <c r="I54" s="191">
        <f t="shared" si="20"/>
        <v>0.0003135540402</v>
      </c>
    </row>
    <row r="55">
      <c r="B55" s="69">
        <v>3.0</v>
      </c>
      <c r="C55" s="195">
        <f t="shared" ref="C55:I55" si="21">C41</f>
        <v>0.03780310092</v>
      </c>
      <c r="D55" s="195">
        <f t="shared" si="21"/>
        <v>0.0453637211</v>
      </c>
      <c r="E55" s="195">
        <f t="shared" si="21"/>
        <v>0.02721823266</v>
      </c>
      <c r="F55" s="190">
        <f t="shared" si="21"/>
        <v>0.01088729306</v>
      </c>
      <c r="G55" s="190">
        <f t="shared" si="21"/>
        <v>0.003266187919</v>
      </c>
      <c r="H55" s="190">
        <f t="shared" si="21"/>
        <v>0.0007838851006</v>
      </c>
      <c r="I55" s="191">
        <f t="shared" si="21"/>
        <v>0.0001567770201</v>
      </c>
    </row>
    <row r="56">
      <c r="B56" s="69">
        <v>4.0</v>
      </c>
      <c r="C56" s="195">
        <f t="shared" ref="C56:I56" si="22">C42</f>
        <v>0.01417616284</v>
      </c>
      <c r="D56" s="195">
        <f t="shared" si="22"/>
        <v>0.01701139541</v>
      </c>
      <c r="E56" s="195">
        <f t="shared" si="22"/>
        <v>0.01020683725</v>
      </c>
      <c r="F56" s="195">
        <f t="shared" si="22"/>
        <v>0.004082734899</v>
      </c>
      <c r="G56" s="190">
        <f t="shared" si="22"/>
        <v>0.00122482047</v>
      </c>
      <c r="H56" s="190">
        <f t="shared" si="22"/>
        <v>0.0002939569127</v>
      </c>
      <c r="I56" s="191">
        <f t="shared" si="22"/>
        <v>0.00005879138254</v>
      </c>
    </row>
    <row r="57">
      <c r="B57" s="69">
        <v>5.0</v>
      </c>
      <c r="C57" s="195">
        <f t="shared" ref="C57:I57" si="23">C43</f>
        <v>0.004252848853</v>
      </c>
      <c r="D57" s="195">
        <f t="shared" si="23"/>
        <v>0.005103418624</v>
      </c>
      <c r="E57" s="195">
        <f t="shared" si="23"/>
        <v>0.003062051174</v>
      </c>
      <c r="F57" s="195">
        <f t="shared" si="23"/>
        <v>0.00122482047</v>
      </c>
      <c r="G57" s="195">
        <f t="shared" si="23"/>
        <v>0.0003674461409</v>
      </c>
      <c r="H57" s="190">
        <f t="shared" si="23"/>
        <v>0.00008818707382</v>
      </c>
      <c r="I57" s="191">
        <f t="shared" si="23"/>
        <v>0.00001763741476</v>
      </c>
    </row>
    <row r="58">
      <c r="B58" s="104">
        <v>6.0</v>
      </c>
      <c r="C58" s="203">
        <f t="shared" ref="C58:I58" si="24">C44</f>
        <v>0.001063212213</v>
      </c>
      <c r="D58" s="203">
        <f t="shared" si="24"/>
        <v>0.001275854656</v>
      </c>
      <c r="E58" s="203">
        <f t="shared" si="24"/>
        <v>0.0007655127936</v>
      </c>
      <c r="F58" s="203">
        <f t="shared" si="24"/>
        <v>0.0003062051174</v>
      </c>
      <c r="G58" s="203">
        <f t="shared" si="24"/>
        <v>0.00009186153523</v>
      </c>
      <c r="H58" s="203">
        <f t="shared" si="24"/>
        <v>0.00002204676845</v>
      </c>
      <c r="I58" s="206">
        <f t="shared" si="24"/>
        <v>0.000004409353691</v>
      </c>
    </row>
    <row r="60">
      <c r="B60" s="42"/>
      <c r="C60" s="178" t="s">
        <v>91</v>
      </c>
      <c r="D60" s="142"/>
      <c r="E60" s="41"/>
      <c r="F60" s="44" t="s">
        <v>52</v>
      </c>
      <c r="G60" s="41"/>
      <c r="H60" s="44" t="s">
        <v>53</v>
      </c>
      <c r="I60" s="41"/>
      <c r="J60" s="44" t="s">
        <v>54</v>
      </c>
      <c r="K60" s="41"/>
      <c r="L60" s="44" t="s">
        <v>55</v>
      </c>
      <c r="M60" s="41"/>
    </row>
    <row r="61">
      <c r="B61" s="100" t="s">
        <v>87</v>
      </c>
      <c r="C61" s="183" t="s">
        <v>85</v>
      </c>
      <c r="D61" s="185" t="s">
        <v>84</v>
      </c>
      <c r="E61" s="186" t="s">
        <v>83</v>
      </c>
      <c r="F61" s="170" t="s">
        <v>89</v>
      </c>
      <c r="G61" s="172" t="s">
        <v>90</v>
      </c>
      <c r="H61" s="170" t="s">
        <v>89</v>
      </c>
      <c r="I61" s="172" t="s">
        <v>90</v>
      </c>
      <c r="J61" s="170" t="s">
        <v>89</v>
      </c>
      <c r="K61" s="172" t="s">
        <v>90</v>
      </c>
      <c r="L61" s="170" t="s">
        <v>89</v>
      </c>
      <c r="M61" s="172" t="s">
        <v>90</v>
      </c>
    </row>
    <row r="62">
      <c r="A62" s="2"/>
      <c r="B62" s="21">
        <v>0.5</v>
      </c>
      <c r="C62" s="105">
        <f>sum(C53:C58,D54:D58,E55:E58,F56:F58,G57:G58,H58)</f>
        <v>0.4405393766</v>
      </c>
      <c r="D62" s="122"/>
      <c r="E62" s="108">
        <f>sum(C52:I52,D53:I53,E54:I54,F55:I55,G56:I56,H57:I57,I58)</f>
        <v>0.5582837516</v>
      </c>
      <c r="F62" s="184">
        <f>C62/(C62+E62)</f>
        <v>0.4410584458</v>
      </c>
      <c r="G62" s="188">
        <f>E62/(C62+E62)</f>
        <v>0.5589415542</v>
      </c>
      <c r="H62" s="62"/>
      <c r="I62" s="24"/>
      <c r="J62" s="62"/>
      <c r="K62" s="24"/>
      <c r="L62" s="62"/>
      <c r="M62" s="24"/>
    </row>
    <row r="64">
      <c r="A64" s="64"/>
      <c r="B64" s="64"/>
      <c r="C64" s="11" t="s">
        <v>31</v>
      </c>
    </row>
    <row r="65">
      <c r="A65" s="64"/>
      <c r="B65" s="65" t="s">
        <v>43</v>
      </c>
      <c r="C65" s="66">
        <v>0.0</v>
      </c>
      <c r="D65" s="66">
        <v>1.0</v>
      </c>
      <c r="E65" s="66">
        <v>2.0</v>
      </c>
      <c r="F65" s="66">
        <v>3.0</v>
      </c>
      <c r="G65" s="66">
        <v>4.0</v>
      </c>
      <c r="H65" s="66">
        <v>5.0</v>
      </c>
      <c r="I65" s="67">
        <v>6.0</v>
      </c>
    </row>
    <row r="66">
      <c r="A66" s="68" t="s">
        <v>27</v>
      </c>
      <c r="B66" s="69">
        <v>0.0</v>
      </c>
      <c r="C66" s="192">
        <f t="shared" ref="C66:I66" si="25">C52</f>
        <v>0.06720551274</v>
      </c>
      <c r="D66" s="190">
        <f t="shared" si="25"/>
        <v>0.08064661529</v>
      </c>
      <c r="E66" s="190">
        <f t="shared" si="25"/>
        <v>0.04838796917</v>
      </c>
      <c r="F66" s="190">
        <f t="shared" si="25"/>
        <v>0.01935518767</v>
      </c>
      <c r="G66" s="190">
        <f t="shared" si="25"/>
        <v>0.005806556301</v>
      </c>
      <c r="H66" s="190">
        <f t="shared" si="25"/>
        <v>0.001393573512</v>
      </c>
      <c r="I66" s="191">
        <f t="shared" si="25"/>
        <v>0.0002787147024</v>
      </c>
    </row>
    <row r="67">
      <c r="B67" s="69">
        <v>1.0</v>
      </c>
      <c r="C67" s="195">
        <f t="shared" ref="C67:I67" si="26">C53</f>
        <v>0.1008082691</v>
      </c>
      <c r="D67" s="192">
        <f t="shared" si="26"/>
        <v>0.1209699229</v>
      </c>
      <c r="E67" s="190">
        <f t="shared" si="26"/>
        <v>0.07258195376</v>
      </c>
      <c r="F67" s="190">
        <f t="shared" si="26"/>
        <v>0.0290327815</v>
      </c>
      <c r="G67" s="190">
        <f t="shared" si="26"/>
        <v>0.008709834451</v>
      </c>
      <c r="H67" s="190">
        <f t="shared" si="26"/>
        <v>0.002090360268</v>
      </c>
      <c r="I67" s="191">
        <f t="shared" si="26"/>
        <v>0.0004180720537</v>
      </c>
    </row>
    <row r="68">
      <c r="B68" s="69">
        <v>2.0</v>
      </c>
      <c r="C68" s="195">
        <f t="shared" ref="C68:I68" si="27">C54</f>
        <v>0.07560620183</v>
      </c>
      <c r="D68" s="195">
        <f t="shared" si="27"/>
        <v>0.0907274422</v>
      </c>
      <c r="E68" s="192">
        <f t="shared" si="27"/>
        <v>0.05443646532</v>
      </c>
      <c r="F68" s="190">
        <f t="shared" si="27"/>
        <v>0.02177458613</v>
      </c>
      <c r="G68" s="190">
        <f t="shared" si="27"/>
        <v>0.006532375838</v>
      </c>
      <c r="H68" s="190">
        <f t="shared" si="27"/>
        <v>0.001567770201</v>
      </c>
      <c r="I68" s="191">
        <f t="shared" si="27"/>
        <v>0.0003135540402</v>
      </c>
    </row>
    <row r="69">
      <c r="B69" s="69">
        <v>3.0</v>
      </c>
      <c r="C69" s="195">
        <f t="shared" ref="C69:I69" si="28">C55</f>
        <v>0.03780310092</v>
      </c>
      <c r="D69" s="195">
        <f t="shared" si="28"/>
        <v>0.0453637211</v>
      </c>
      <c r="E69" s="195">
        <f t="shared" si="28"/>
        <v>0.02721823266</v>
      </c>
      <c r="F69" s="192">
        <f t="shared" si="28"/>
        <v>0.01088729306</v>
      </c>
      <c r="G69" s="190">
        <f t="shared" si="28"/>
        <v>0.003266187919</v>
      </c>
      <c r="H69" s="190">
        <f t="shared" si="28"/>
        <v>0.0007838851006</v>
      </c>
      <c r="I69" s="191">
        <f t="shared" si="28"/>
        <v>0.0001567770201</v>
      </c>
    </row>
    <row r="70">
      <c r="B70" s="69">
        <v>4.0</v>
      </c>
      <c r="C70" s="195">
        <f t="shared" ref="C70:I70" si="29">C56</f>
        <v>0.01417616284</v>
      </c>
      <c r="D70" s="195">
        <f t="shared" si="29"/>
        <v>0.01701139541</v>
      </c>
      <c r="E70" s="195">
        <f t="shared" si="29"/>
        <v>0.01020683725</v>
      </c>
      <c r="F70" s="195">
        <f t="shared" si="29"/>
        <v>0.004082734899</v>
      </c>
      <c r="G70" s="192">
        <f t="shared" si="29"/>
        <v>0.00122482047</v>
      </c>
      <c r="H70" s="190">
        <f t="shared" si="29"/>
        <v>0.0002939569127</v>
      </c>
      <c r="I70" s="191">
        <f t="shared" si="29"/>
        <v>0.00005879138254</v>
      </c>
    </row>
    <row r="71">
      <c r="B71" s="69">
        <v>5.0</v>
      </c>
      <c r="C71" s="195">
        <f t="shared" ref="C71:I71" si="30">C57</f>
        <v>0.004252848853</v>
      </c>
      <c r="D71" s="195">
        <f t="shared" si="30"/>
        <v>0.005103418624</v>
      </c>
      <c r="E71" s="195">
        <f t="shared" si="30"/>
        <v>0.003062051174</v>
      </c>
      <c r="F71" s="195">
        <f t="shared" si="30"/>
        <v>0.00122482047</v>
      </c>
      <c r="G71" s="195">
        <f t="shared" si="30"/>
        <v>0.0003674461409</v>
      </c>
      <c r="H71" s="192">
        <f t="shared" si="30"/>
        <v>0.00008818707382</v>
      </c>
      <c r="I71" s="191">
        <f t="shared" si="30"/>
        <v>0.00001763741476</v>
      </c>
    </row>
    <row r="72">
      <c r="B72" s="104">
        <v>6.0</v>
      </c>
      <c r="C72" s="203">
        <f t="shared" ref="C72:I72" si="31">C58</f>
        <v>0.001063212213</v>
      </c>
      <c r="D72" s="203">
        <f t="shared" si="31"/>
        <v>0.001275854656</v>
      </c>
      <c r="E72" s="203">
        <f t="shared" si="31"/>
        <v>0.0007655127936</v>
      </c>
      <c r="F72" s="203">
        <f t="shared" si="31"/>
        <v>0.0003062051174</v>
      </c>
      <c r="G72" s="203">
        <f t="shared" si="31"/>
        <v>0.00009186153523</v>
      </c>
      <c r="H72" s="203">
        <f t="shared" si="31"/>
        <v>0.00002204676845</v>
      </c>
      <c r="I72" s="221">
        <f t="shared" si="31"/>
        <v>0.000004409353691</v>
      </c>
    </row>
    <row r="74">
      <c r="B74" s="42"/>
      <c r="C74" s="178" t="s">
        <v>91</v>
      </c>
      <c r="D74" s="142"/>
      <c r="E74" s="41"/>
      <c r="F74" s="44" t="s">
        <v>52</v>
      </c>
      <c r="G74" s="41"/>
      <c r="H74" s="44" t="s">
        <v>53</v>
      </c>
      <c r="I74" s="41"/>
      <c r="J74" s="44" t="s">
        <v>54</v>
      </c>
      <c r="K74" s="41"/>
      <c r="L74" s="44" t="s">
        <v>55</v>
      </c>
      <c r="M74" s="41"/>
    </row>
    <row r="75">
      <c r="B75" s="100" t="s">
        <v>87</v>
      </c>
      <c r="C75" s="183" t="s">
        <v>85</v>
      </c>
      <c r="D75" s="185" t="s">
        <v>84</v>
      </c>
      <c r="E75" s="186" t="s">
        <v>83</v>
      </c>
      <c r="F75" s="170" t="s">
        <v>89</v>
      </c>
      <c r="G75" s="172" t="s">
        <v>90</v>
      </c>
      <c r="H75" s="170" t="s">
        <v>89</v>
      </c>
      <c r="I75" s="172" t="s">
        <v>90</v>
      </c>
      <c r="J75" s="170" t="s">
        <v>89</v>
      </c>
      <c r="K75" s="172" t="s">
        <v>90</v>
      </c>
      <c r="L75" s="170" t="s">
        <v>89</v>
      </c>
      <c r="M75" s="172" t="s">
        <v>90</v>
      </c>
    </row>
    <row r="76">
      <c r="A76" s="2"/>
      <c r="B76" s="21">
        <v>0.0</v>
      </c>
      <c r="C76" s="105">
        <f>sum(C67:C72,D68:D71,D72,E69:E72,F70:F72,G71:G72,H72)</f>
        <v>0.4405393766</v>
      </c>
      <c r="D76" s="105">
        <f>sum(C66,D67,E69,F70,G71,H72)</f>
        <v>0.2198658961</v>
      </c>
      <c r="E76" s="108">
        <f>sum(D66:I66,E67:I67,F68:I68,G69:I69,H70:I70,I71)</f>
        <v>0.3034671406</v>
      </c>
      <c r="F76" s="184">
        <f>C76/(C76+E76+D76*0.5)</f>
        <v>0.5158906392</v>
      </c>
      <c r="G76" s="188">
        <f>E76/(C76+E76+D76*0.5)</f>
        <v>0.35537313</v>
      </c>
      <c r="H76" s="62"/>
      <c r="I76" s="24"/>
      <c r="J76" s="62"/>
      <c r="K76" s="24"/>
      <c r="L76" s="62"/>
      <c r="M76" s="24"/>
    </row>
    <row r="78">
      <c r="A78" s="106"/>
      <c r="B78" s="106"/>
      <c r="C78" s="107"/>
      <c r="D78" s="107"/>
      <c r="E78" s="107"/>
      <c r="F78" s="107"/>
      <c r="G78" s="107"/>
      <c r="H78" s="107"/>
      <c r="I78" s="107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80">
      <c r="B80" s="35"/>
      <c r="C80" s="35"/>
      <c r="D80" s="35"/>
      <c r="E80" s="35"/>
      <c r="F80" s="35"/>
      <c r="G80" s="35"/>
      <c r="H80" s="35"/>
    </row>
    <row r="81">
      <c r="B81" s="199"/>
      <c r="C81" s="200" t="s">
        <v>92</v>
      </c>
      <c r="D81" s="142"/>
      <c r="E81" s="142"/>
      <c r="F81" s="142"/>
      <c r="G81" s="142"/>
      <c r="H81" s="41"/>
    </row>
    <row r="82">
      <c r="B82" s="201" t="s">
        <v>93</v>
      </c>
      <c r="C82" s="202" t="s">
        <v>58</v>
      </c>
      <c r="D82" s="154"/>
      <c r="E82" s="154"/>
      <c r="F82" s="202" t="s">
        <v>59</v>
      </c>
      <c r="G82" s="154"/>
      <c r="H82" s="156"/>
    </row>
    <row r="83">
      <c r="B83" s="204">
        <v>0.0</v>
      </c>
      <c r="C83" s="35"/>
      <c r="F83" s="35"/>
      <c r="H83" s="158"/>
    </row>
    <row r="84">
      <c r="B84" s="204">
        <v>0.25</v>
      </c>
      <c r="C84" s="35"/>
      <c r="F84" s="35"/>
      <c r="H84" s="158"/>
    </row>
    <row r="85">
      <c r="B85" s="204">
        <v>0.5</v>
      </c>
      <c r="C85" s="35"/>
      <c r="F85" s="35"/>
      <c r="H85" s="158"/>
    </row>
    <row r="86">
      <c r="B86" s="207">
        <v>0.75</v>
      </c>
      <c r="C86" s="209"/>
      <c r="D86" s="154"/>
      <c r="E86" s="154"/>
      <c r="F86" s="209"/>
      <c r="G86" s="154"/>
      <c r="H86" s="156"/>
    </row>
  </sheetData>
  <mergeCells count="39">
    <mergeCell ref="C22:I22"/>
    <mergeCell ref="C32:E32"/>
    <mergeCell ref="F32:G32"/>
    <mergeCell ref="H32:I32"/>
    <mergeCell ref="J32:K32"/>
    <mergeCell ref="L32:M32"/>
    <mergeCell ref="C36:I36"/>
    <mergeCell ref="A24:A30"/>
    <mergeCell ref="C46:E46"/>
    <mergeCell ref="F46:G46"/>
    <mergeCell ref="H46:I46"/>
    <mergeCell ref="J46:K46"/>
    <mergeCell ref="L46:M46"/>
    <mergeCell ref="C50:I50"/>
    <mergeCell ref="A38:A44"/>
    <mergeCell ref="C60:E60"/>
    <mergeCell ref="F60:G60"/>
    <mergeCell ref="H60:I60"/>
    <mergeCell ref="J60:K60"/>
    <mergeCell ref="L60:M60"/>
    <mergeCell ref="C64:I64"/>
    <mergeCell ref="A52:A58"/>
    <mergeCell ref="A66:A72"/>
    <mergeCell ref="C74:E74"/>
    <mergeCell ref="F74:G74"/>
    <mergeCell ref="H74:I74"/>
    <mergeCell ref="J74:K74"/>
    <mergeCell ref="L74:M74"/>
    <mergeCell ref="C85:E85"/>
    <mergeCell ref="F85:H85"/>
    <mergeCell ref="C86:E86"/>
    <mergeCell ref="F86:H86"/>
    <mergeCell ref="C81:H81"/>
    <mergeCell ref="C82:E82"/>
    <mergeCell ref="F82:H82"/>
    <mergeCell ref="C83:E83"/>
    <mergeCell ref="F83:H83"/>
    <mergeCell ref="C84:E84"/>
    <mergeCell ref="F84:H84"/>
  </mergeCells>
  <hyperlinks>
    <hyperlink r:id="rId1" location="slide=id.gbfa8f241cc_0_46" ref="B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75"/>
    <col customWidth="1" min="5" max="21" width="9.13"/>
  </cols>
  <sheetData>
    <row r="1">
      <c r="B1" s="214" t="s">
        <v>110</v>
      </c>
      <c r="C1" s="215" t="s">
        <v>111</v>
      </c>
      <c r="D1" s="216" t="s">
        <v>112</v>
      </c>
    </row>
    <row r="2">
      <c r="B2" s="217">
        <v>90.0</v>
      </c>
      <c r="C2" s="218">
        <v>80.0</v>
      </c>
      <c r="D2" s="219">
        <f>C2/B2</f>
        <v>0.8888888889</v>
      </c>
    </row>
    <row r="3">
      <c r="B3" s="36" t="s">
        <v>113</v>
      </c>
      <c r="C3" s="36" t="s">
        <v>114</v>
      </c>
      <c r="D3" s="36">
        <v>0.0</v>
      </c>
      <c r="E3" s="36">
        <v>1.0</v>
      </c>
      <c r="F3" s="36">
        <v>2.0</v>
      </c>
      <c r="G3" s="36">
        <v>3.0</v>
      </c>
      <c r="H3" s="36">
        <v>4.0</v>
      </c>
      <c r="I3" s="36">
        <v>5.0</v>
      </c>
      <c r="J3" s="36">
        <v>6.0</v>
      </c>
      <c r="K3" s="36">
        <v>7.0</v>
      </c>
      <c r="L3" s="36">
        <v>8.0</v>
      </c>
      <c r="M3" s="36">
        <v>9.0</v>
      </c>
      <c r="N3" s="36">
        <v>10.0</v>
      </c>
      <c r="O3" s="36">
        <v>11.0</v>
      </c>
      <c r="P3" s="36">
        <v>12.0</v>
      </c>
      <c r="Q3" s="36">
        <v>13.0</v>
      </c>
      <c r="R3" s="36">
        <v>14.0</v>
      </c>
      <c r="S3" s="36">
        <v>15.0</v>
      </c>
      <c r="T3" s="36">
        <v>16.0</v>
      </c>
    </row>
    <row r="4">
      <c r="A4" s="36" t="s">
        <v>27</v>
      </c>
      <c r="B4" s="1">
        <v>1.5</v>
      </c>
      <c r="C4" s="220">
        <v>0.44</v>
      </c>
      <c r="D4" s="31">
        <f t="shared" ref="D4:T4" si="1">POISSON(D$3,$C4,FALSE)</f>
        <v>0.6440364211</v>
      </c>
      <c r="E4" s="31">
        <f t="shared" si="1"/>
        <v>0.2833760253</v>
      </c>
      <c r="F4" s="31">
        <f t="shared" si="1"/>
        <v>0.06234272556</v>
      </c>
      <c r="G4" s="31">
        <f t="shared" si="1"/>
        <v>0.009143599749</v>
      </c>
      <c r="H4" s="31">
        <f t="shared" si="1"/>
        <v>0.001005795972</v>
      </c>
      <c r="I4" s="31">
        <f t="shared" si="1"/>
        <v>0.00008851004557</v>
      </c>
      <c r="J4" s="31">
        <f t="shared" si="1"/>
        <v>0.000006490736675</v>
      </c>
      <c r="K4" s="31">
        <f t="shared" si="1"/>
        <v>0.0000004079891624</v>
      </c>
      <c r="L4" s="31">
        <f t="shared" si="1"/>
        <v>0.00000002243940393</v>
      </c>
      <c r="M4" s="31">
        <f t="shared" si="1"/>
        <v>0.000000001097037526</v>
      </c>
      <c r="N4" s="31">
        <f t="shared" si="1"/>
        <v>0</v>
      </c>
      <c r="O4" s="31">
        <f t="shared" si="1"/>
        <v>0</v>
      </c>
      <c r="P4" s="31">
        <f t="shared" si="1"/>
        <v>0</v>
      </c>
      <c r="Q4" s="31">
        <f t="shared" si="1"/>
        <v>0</v>
      </c>
      <c r="R4" s="31">
        <f t="shared" si="1"/>
        <v>0</v>
      </c>
      <c r="S4" s="31">
        <f t="shared" si="1"/>
        <v>0</v>
      </c>
      <c r="T4" s="31">
        <f t="shared" si="1"/>
        <v>0</v>
      </c>
    </row>
    <row r="5">
      <c r="A5" s="36" t="s">
        <v>31</v>
      </c>
      <c r="B5" s="36">
        <v>1.2</v>
      </c>
      <c r="C5" s="222">
        <v>0.87</v>
      </c>
      <c r="D5" s="31">
        <f t="shared" ref="D5:T5" si="2">POISSON(D$3,$C5,FALSE)</f>
        <v>0.4189515492</v>
      </c>
      <c r="E5" s="31">
        <f t="shared" si="2"/>
        <v>0.3644878478</v>
      </c>
      <c r="F5" s="31">
        <f t="shared" si="2"/>
        <v>0.1585522138</v>
      </c>
      <c r="G5" s="31">
        <f t="shared" si="2"/>
        <v>0.04598014201</v>
      </c>
      <c r="H5" s="31">
        <f t="shared" si="2"/>
        <v>0.01000068089</v>
      </c>
      <c r="I5" s="31">
        <f t="shared" si="2"/>
        <v>0.001740118474</v>
      </c>
      <c r="J5" s="31">
        <f t="shared" si="2"/>
        <v>0.0002523171788</v>
      </c>
      <c r="K5" s="31">
        <f t="shared" si="2"/>
        <v>0.00003135942079</v>
      </c>
      <c r="L5" s="31">
        <f t="shared" si="2"/>
        <v>0.000003410337011</v>
      </c>
      <c r="M5" s="31">
        <f t="shared" si="2"/>
        <v>0.000000329665911</v>
      </c>
      <c r="N5" s="31">
        <f t="shared" si="2"/>
        <v>0.00000002868093426</v>
      </c>
      <c r="O5" s="31">
        <f t="shared" si="2"/>
        <v>0.000000002268401164</v>
      </c>
      <c r="P5" s="31">
        <f t="shared" si="2"/>
        <v>0.0000000001644590844</v>
      </c>
      <c r="Q5" s="31">
        <f t="shared" si="2"/>
        <v>0</v>
      </c>
      <c r="R5" s="31">
        <f t="shared" si="2"/>
        <v>0</v>
      </c>
      <c r="S5" s="31">
        <f t="shared" si="2"/>
        <v>0</v>
      </c>
      <c r="T5" s="31">
        <f t="shared" si="2"/>
        <v>0</v>
      </c>
    </row>
    <row r="6">
      <c r="A6" s="223" t="s">
        <v>115</v>
      </c>
      <c r="B6" s="223">
        <f>sum(B4:B5)</f>
        <v>2.7</v>
      </c>
      <c r="C6" s="224">
        <f>B6*($C$2/90)</f>
        <v>2.4</v>
      </c>
      <c r="D6" s="225">
        <f t="shared" ref="D6:T6" si="3">POISSON(D$3,$C6,FALSE)</f>
        <v>0.09071795329</v>
      </c>
      <c r="E6" s="225">
        <f t="shared" si="3"/>
        <v>0.2177230879</v>
      </c>
      <c r="F6" s="225">
        <f t="shared" si="3"/>
        <v>0.2612677055</v>
      </c>
      <c r="G6" s="225">
        <f t="shared" si="3"/>
        <v>0.2090141644</v>
      </c>
      <c r="H6" s="225">
        <f t="shared" si="3"/>
        <v>0.1254084986</v>
      </c>
      <c r="I6" s="225">
        <f t="shared" si="3"/>
        <v>0.06019607934</v>
      </c>
      <c r="J6" s="225">
        <f t="shared" si="3"/>
        <v>0.02407843174</v>
      </c>
      <c r="K6" s="225">
        <f t="shared" si="3"/>
        <v>0.00825546231</v>
      </c>
      <c r="L6" s="225">
        <f t="shared" si="3"/>
        <v>0.002476638693</v>
      </c>
      <c r="M6" s="225">
        <f t="shared" si="3"/>
        <v>0.0006604369848</v>
      </c>
      <c r="N6" s="225">
        <f t="shared" si="3"/>
        <v>0.0001585048763</v>
      </c>
      <c r="O6" s="225">
        <f t="shared" si="3"/>
        <v>0.00003458288211</v>
      </c>
      <c r="P6" s="225">
        <f t="shared" si="3"/>
        <v>0.000006916576422</v>
      </c>
      <c r="Q6" s="225">
        <f t="shared" si="3"/>
        <v>0.000001276906416</v>
      </c>
      <c r="R6" s="225">
        <f t="shared" si="3"/>
        <v>0.0000002188982428</v>
      </c>
      <c r="S6" s="225">
        <f t="shared" si="3"/>
        <v>0.00000003502371885</v>
      </c>
      <c r="T6" s="225">
        <f t="shared" si="3"/>
        <v>0.000000005253557828</v>
      </c>
      <c r="U6" s="226"/>
      <c r="V6" s="226"/>
      <c r="W6" s="226"/>
      <c r="X6" s="226"/>
      <c r="Y6" s="226"/>
    </row>
    <row r="7">
      <c r="D7" s="227">
        <f t="shared" ref="D7:T7" si="4">D6*D3</f>
        <v>0</v>
      </c>
      <c r="E7" s="228">
        <f t="shared" si="4"/>
        <v>0.2177230879</v>
      </c>
      <c r="F7" s="228">
        <f t="shared" si="4"/>
        <v>0.5225354109</v>
      </c>
      <c r="G7" s="228">
        <f t="shared" si="4"/>
        <v>0.6270424931</v>
      </c>
      <c r="H7" s="228">
        <f t="shared" si="4"/>
        <v>0.5016339945</v>
      </c>
      <c r="I7" s="228">
        <f t="shared" si="4"/>
        <v>0.3009803967</v>
      </c>
      <c r="J7" s="228">
        <f t="shared" si="4"/>
        <v>0.1444705904</v>
      </c>
      <c r="K7" s="228">
        <f t="shared" si="4"/>
        <v>0.05778823617</v>
      </c>
      <c r="L7" s="228">
        <f t="shared" si="4"/>
        <v>0.01981310954</v>
      </c>
      <c r="M7" s="228">
        <f t="shared" si="4"/>
        <v>0.005943932863</v>
      </c>
      <c r="N7" s="228">
        <f t="shared" si="4"/>
        <v>0.001585048763</v>
      </c>
      <c r="O7" s="228">
        <f t="shared" si="4"/>
        <v>0.0003804117032</v>
      </c>
      <c r="P7" s="228">
        <f t="shared" si="4"/>
        <v>0.00008299891707</v>
      </c>
      <c r="Q7" s="228">
        <f t="shared" si="4"/>
        <v>0.00001659978341</v>
      </c>
      <c r="R7" s="228">
        <f t="shared" si="4"/>
        <v>0.000003064575399</v>
      </c>
      <c r="S7" s="228">
        <f t="shared" si="4"/>
        <v>0.0000005253557828</v>
      </c>
      <c r="T7" s="228">
        <f t="shared" si="4"/>
        <v>0.00000008405692524</v>
      </c>
    </row>
    <row r="9">
      <c r="D9" s="1" t="s">
        <v>31</v>
      </c>
    </row>
    <row r="10">
      <c r="C10" s="229" t="s">
        <v>116</v>
      </c>
      <c r="D10" s="230">
        <v>0.0</v>
      </c>
      <c r="E10" s="230">
        <v>1.0</v>
      </c>
      <c r="F10" s="230">
        <v>2.0</v>
      </c>
      <c r="G10" s="230">
        <v>3.0</v>
      </c>
      <c r="H10" s="230">
        <v>4.0</v>
      </c>
      <c r="I10" s="230">
        <v>5.0</v>
      </c>
      <c r="J10" s="231">
        <v>6.0</v>
      </c>
      <c r="K10" s="230">
        <v>7.0</v>
      </c>
      <c r="L10" s="230">
        <v>8.0</v>
      </c>
      <c r="M10" s="230">
        <v>9.0</v>
      </c>
      <c r="N10" s="230">
        <v>10.0</v>
      </c>
      <c r="O10" s="230">
        <v>11.0</v>
      </c>
      <c r="P10" s="230">
        <v>12.0</v>
      </c>
      <c r="Q10" s="230">
        <v>13.0</v>
      </c>
      <c r="R10" s="230">
        <v>14.0</v>
      </c>
      <c r="S10" s="230">
        <v>15.0</v>
      </c>
      <c r="T10" s="232">
        <v>16.0</v>
      </c>
    </row>
    <row r="11">
      <c r="B11" s="1" t="s">
        <v>27</v>
      </c>
      <c r="C11" s="233">
        <v>0.0</v>
      </c>
      <c r="D11" s="234">
        <f t="shared" ref="D11:J11" si="5">$D4*D$5</f>
        <v>0.2698200564</v>
      </c>
      <c r="E11" s="235">
        <f t="shared" si="5"/>
        <v>0.2347434491</v>
      </c>
      <c r="F11" s="235">
        <f t="shared" si="5"/>
        <v>0.1021134003</v>
      </c>
      <c r="G11" s="235">
        <f t="shared" si="5"/>
        <v>0.0296128861</v>
      </c>
      <c r="H11" s="235">
        <f t="shared" si="5"/>
        <v>0.006440802726</v>
      </c>
      <c r="I11" s="235">
        <f t="shared" si="5"/>
        <v>0.001120699674</v>
      </c>
      <c r="J11" s="236">
        <f t="shared" si="5"/>
        <v>0.0001625014528</v>
      </c>
      <c r="K11" s="237"/>
      <c r="L11" s="237"/>
      <c r="M11" s="237"/>
      <c r="N11" s="237"/>
      <c r="O11" s="237"/>
      <c r="P11" s="237"/>
      <c r="Q11" s="237"/>
      <c r="R11" s="237"/>
      <c r="S11" s="237"/>
      <c r="T11" s="238"/>
    </row>
    <row r="12">
      <c r="C12" s="233">
        <v>1.0</v>
      </c>
      <c r="D12" s="239">
        <f t="shared" ref="D12:J12" si="6">$E4*D$5</f>
        <v>0.1187208248</v>
      </c>
      <c r="E12" s="240">
        <f t="shared" si="6"/>
        <v>0.1032871176</v>
      </c>
      <c r="F12" s="240">
        <f t="shared" si="6"/>
        <v>0.04492989615</v>
      </c>
      <c r="G12" s="240">
        <f t="shared" si="6"/>
        <v>0.01302966988</v>
      </c>
      <c r="H12" s="240">
        <f t="shared" si="6"/>
        <v>0.0028339532</v>
      </c>
      <c r="I12" s="240">
        <f t="shared" si="6"/>
        <v>0.0004931078567</v>
      </c>
      <c r="J12" s="241">
        <f t="shared" si="6"/>
        <v>0.00007150063923</v>
      </c>
      <c r="K12" s="243"/>
      <c r="L12" s="243"/>
      <c r="M12" s="243"/>
      <c r="N12" s="243"/>
      <c r="O12" s="243"/>
      <c r="P12" s="243"/>
      <c r="Q12" s="243"/>
      <c r="R12" s="243"/>
      <c r="S12" s="243"/>
      <c r="T12" s="244"/>
    </row>
    <row r="13">
      <c r="C13" s="233">
        <v>2.0</v>
      </c>
      <c r="D13" s="239">
        <f t="shared" ref="D13:J13" si="7">$F4*D$5</f>
        <v>0.02611858146</v>
      </c>
      <c r="E13" s="240">
        <f t="shared" si="7"/>
        <v>0.02272316587</v>
      </c>
      <c r="F13" s="240">
        <f t="shared" si="7"/>
        <v>0.009884577153</v>
      </c>
      <c r="G13" s="240">
        <f t="shared" si="7"/>
        <v>0.002866527374</v>
      </c>
      <c r="H13" s="240">
        <f t="shared" si="7"/>
        <v>0.0006234697039</v>
      </c>
      <c r="I13" s="240">
        <f t="shared" si="7"/>
        <v>0.0001084837285</v>
      </c>
      <c r="J13" s="241">
        <f t="shared" si="7"/>
        <v>0.00001573014063</v>
      </c>
      <c r="K13" s="240"/>
      <c r="L13" s="240"/>
      <c r="M13" s="246"/>
      <c r="N13" s="240"/>
      <c r="O13" s="240"/>
      <c r="P13" s="240"/>
      <c r="Q13" s="240"/>
      <c r="R13" s="240"/>
      <c r="S13" s="240"/>
      <c r="T13" s="244"/>
    </row>
    <row r="14">
      <c r="C14" s="233">
        <v>3.0</v>
      </c>
      <c r="D14" s="239">
        <f t="shared" ref="D14:J14" si="8">$G4*D$5</f>
        <v>0.003830725281</v>
      </c>
      <c r="E14" s="240">
        <f t="shared" si="8"/>
        <v>0.003332730994</v>
      </c>
      <c r="F14" s="240">
        <f t="shared" si="8"/>
        <v>0.001449737982</v>
      </c>
      <c r="G14" s="240">
        <f t="shared" si="8"/>
        <v>0.0004204240149</v>
      </c>
      <c r="H14" s="240">
        <f t="shared" si="8"/>
        <v>0.00009144222324</v>
      </c>
      <c r="I14" s="240">
        <f t="shared" si="8"/>
        <v>0.00001591094684</v>
      </c>
      <c r="J14" s="241">
        <f t="shared" si="8"/>
        <v>0.000002307087292</v>
      </c>
      <c r="K14" s="240"/>
      <c r="L14" s="240"/>
      <c r="M14" s="240"/>
      <c r="N14" s="240"/>
      <c r="O14" s="240"/>
      <c r="P14" s="240"/>
      <c r="Q14" s="240"/>
      <c r="R14" s="240"/>
      <c r="S14" s="240"/>
      <c r="T14" s="244"/>
    </row>
    <row r="15">
      <c r="C15" s="233">
        <v>4.0</v>
      </c>
      <c r="D15" s="239">
        <f t="shared" ref="D15:J15" si="9">$H4*D$5</f>
        <v>0.0004213797809</v>
      </c>
      <c r="E15" s="240">
        <f t="shared" si="9"/>
        <v>0.0003666004093</v>
      </c>
      <c r="F15" s="240">
        <f t="shared" si="9"/>
        <v>0.0001594711781</v>
      </c>
      <c r="G15" s="240">
        <f t="shared" si="9"/>
        <v>0.00004624664164</v>
      </c>
      <c r="H15" s="240">
        <f t="shared" si="9"/>
        <v>0.00001005864456</v>
      </c>
      <c r="I15" s="240">
        <f t="shared" si="9"/>
        <v>0.000001750204153</v>
      </c>
      <c r="J15" s="241">
        <f t="shared" si="9"/>
        <v>0.0000002537796022</v>
      </c>
      <c r="K15" s="240"/>
      <c r="L15" s="240"/>
      <c r="M15" s="240"/>
      <c r="N15" s="240"/>
      <c r="O15" s="240"/>
      <c r="P15" s="240"/>
      <c r="Q15" s="240"/>
      <c r="R15" s="240"/>
      <c r="S15" s="240"/>
      <c r="T15" s="244"/>
    </row>
    <row r="16">
      <c r="C16" s="233">
        <v>5.0</v>
      </c>
      <c r="D16" s="239">
        <f t="shared" ref="D16:J16" si="10">$I4*D$5</f>
        <v>0.00003708142072</v>
      </c>
      <c r="E16" s="240">
        <f t="shared" si="10"/>
        <v>0.00003226083602</v>
      </c>
      <c r="F16" s="240">
        <f t="shared" si="10"/>
        <v>0.00001403346367</v>
      </c>
      <c r="G16" s="240">
        <f t="shared" si="10"/>
        <v>0.000004069704464</v>
      </c>
      <c r="H16" s="240">
        <f t="shared" si="10"/>
        <v>0.000000885160721</v>
      </c>
      <c r="I16" s="240">
        <f t="shared" si="10"/>
        <v>0.0000001540179654</v>
      </c>
      <c r="J16" s="241">
        <f t="shared" si="10"/>
        <v>0.00000002233260499</v>
      </c>
      <c r="K16" s="240"/>
      <c r="L16" s="240"/>
      <c r="M16" s="240"/>
      <c r="N16" s="240"/>
      <c r="O16" s="240"/>
      <c r="P16" s="240"/>
      <c r="Q16" s="240"/>
      <c r="R16" s="240"/>
      <c r="S16" s="240"/>
      <c r="T16" s="244"/>
    </row>
    <row r="17">
      <c r="C17" s="249">
        <v>6.0</v>
      </c>
      <c r="D17" s="250">
        <f t="shared" ref="D17:J17" si="11">$J4*D$5</f>
        <v>0.000002719304186</v>
      </c>
      <c r="E17" s="251">
        <f t="shared" si="11"/>
        <v>0.000002365794642</v>
      </c>
      <c r="F17" s="251">
        <f t="shared" si="11"/>
        <v>0.000001029120669</v>
      </c>
      <c r="G17" s="251">
        <f t="shared" si="11"/>
        <v>0.000000298444994</v>
      </c>
      <c r="H17" s="251">
        <f t="shared" si="11"/>
        <v>0.0000000649117862</v>
      </c>
      <c r="I17" s="251">
        <f t="shared" si="11"/>
        <v>0.0000000112946508</v>
      </c>
      <c r="J17" s="253">
        <f t="shared" si="11"/>
        <v>0.000000001637724366</v>
      </c>
      <c r="K17" s="240"/>
      <c r="L17" s="240"/>
      <c r="M17" s="240"/>
      <c r="N17" s="240"/>
      <c r="O17" s="240"/>
      <c r="P17" s="240"/>
      <c r="Q17" s="240"/>
      <c r="R17" s="240"/>
      <c r="S17" s="240"/>
      <c r="T17" s="244"/>
    </row>
    <row r="18">
      <c r="C18" s="233">
        <v>7.0</v>
      </c>
      <c r="D18" s="239"/>
      <c r="E18" s="240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4"/>
    </row>
    <row r="19">
      <c r="C19" s="233">
        <v>8.0</v>
      </c>
      <c r="D19" s="239"/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4"/>
    </row>
    <row r="20">
      <c r="C20" s="233">
        <v>9.0</v>
      </c>
      <c r="D20" s="239"/>
      <c r="E20" s="240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4"/>
    </row>
    <row r="21">
      <c r="C21" s="233">
        <v>10.0</v>
      </c>
      <c r="D21" s="239"/>
      <c r="E21" s="240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4"/>
    </row>
    <row r="22">
      <c r="C22" s="233">
        <v>11.0</v>
      </c>
      <c r="D22" s="239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4"/>
    </row>
    <row r="23">
      <c r="C23" s="233">
        <v>12.0</v>
      </c>
      <c r="D23" s="239"/>
      <c r="E23" s="240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4"/>
    </row>
    <row r="24">
      <c r="C24" s="233">
        <v>13.0</v>
      </c>
      <c r="D24" s="239"/>
      <c r="E24" s="240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4"/>
    </row>
    <row r="25">
      <c r="C25" s="233">
        <v>14.0</v>
      </c>
      <c r="D25" s="239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4"/>
    </row>
    <row r="26">
      <c r="C26" s="233">
        <v>15.0</v>
      </c>
      <c r="D26" s="239"/>
      <c r="E26" s="240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4"/>
    </row>
    <row r="27">
      <c r="C27" s="254">
        <v>16.0</v>
      </c>
      <c r="D27" s="255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7"/>
    </row>
    <row r="30">
      <c r="B30" s="2" t="s">
        <v>135</v>
      </c>
      <c r="C30" s="258"/>
      <c r="D30" s="259" t="s">
        <v>136</v>
      </c>
      <c r="E30" s="142"/>
      <c r="F30" s="41"/>
      <c r="G30" s="260" t="s">
        <v>43</v>
      </c>
      <c r="H30" s="41"/>
      <c r="I30" s="260" t="s">
        <v>137</v>
      </c>
      <c r="J30" s="41"/>
      <c r="M30" s="258"/>
      <c r="N30" s="259" t="s">
        <v>136</v>
      </c>
      <c r="O30" s="142"/>
      <c r="P30" s="41"/>
      <c r="Q30" s="260" t="s">
        <v>43</v>
      </c>
      <c r="R30" s="41"/>
      <c r="S30" s="260" t="s">
        <v>137</v>
      </c>
      <c r="T30" s="41"/>
      <c r="U30" s="54"/>
    </row>
    <row r="31">
      <c r="C31" s="100" t="s">
        <v>56</v>
      </c>
      <c r="D31" s="22" t="s">
        <v>83</v>
      </c>
      <c r="E31" s="22" t="s">
        <v>84</v>
      </c>
      <c r="F31" s="23" t="s">
        <v>85</v>
      </c>
      <c r="G31" s="170" t="s">
        <v>58</v>
      </c>
      <c r="H31" s="172" t="s">
        <v>59</v>
      </c>
      <c r="I31" s="170" t="s">
        <v>58</v>
      </c>
      <c r="J31" s="172" t="s">
        <v>59</v>
      </c>
      <c r="M31" s="100" t="s">
        <v>87</v>
      </c>
      <c r="N31" s="173" t="s">
        <v>83</v>
      </c>
      <c r="O31" s="22" t="s">
        <v>84</v>
      </c>
      <c r="P31" s="23" t="s">
        <v>85</v>
      </c>
      <c r="Q31" s="170" t="s">
        <v>89</v>
      </c>
      <c r="R31" s="172" t="s">
        <v>90</v>
      </c>
      <c r="S31" s="170" t="s">
        <v>89</v>
      </c>
      <c r="T31" s="172" t="s">
        <v>90</v>
      </c>
      <c r="U31" s="54"/>
    </row>
    <row r="32">
      <c r="C32" s="53">
        <v>0.5</v>
      </c>
      <c r="F32" s="187"/>
      <c r="G32" s="263"/>
      <c r="H32" s="52"/>
      <c r="I32" s="263"/>
      <c r="J32" s="52"/>
      <c r="M32" s="53">
        <v>-1.0</v>
      </c>
      <c r="N32" s="182"/>
      <c r="P32" s="187"/>
      <c r="Q32" s="263"/>
      <c r="R32" s="52"/>
      <c r="S32" s="263"/>
      <c r="T32" s="52"/>
      <c r="U32" s="263"/>
    </row>
    <row r="33">
      <c r="C33" s="53">
        <v>0.75</v>
      </c>
      <c r="F33" s="187"/>
      <c r="G33" s="263"/>
      <c r="H33" s="52"/>
      <c r="I33" s="263"/>
      <c r="J33" s="52"/>
      <c r="M33" s="53">
        <v>-0.75</v>
      </c>
      <c r="N33" s="182"/>
      <c r="P33" s="187"/>
      <c r="Q33" s="263"/>
      <c r="R33" s="52"/>
      <c r="S33" s="263"/>
      <c r="T33" s="52"/>
      <c r="U33" s="263"/>
    </row>
    <row r="34">
      <c r="C34" s="53">
        <v>1.0</v>
      </c>
      <c r="F34" s="187"/>
      <c r="G34" s="263"/>
      <c r="H34" s="52"/>
      <c r="I34" s="263"/>
      <c r="J34" s="52"/>
      <c r="M34" s="53">
        <v>-0.5</v>
      </c>
      <c r="N34" s="182"/>
      <c r="P34" s="187"/>
      <c r="Q34" s="263"/>
      <c r="R34" s="52"/>
      <c r="S34" s="263"/>
      <c r="T34" s="52"/>
      <c r="U34" s="263"/>
    </row>
    <row r="35">
      <c r="C35" s="53">
        <v>1.25</v>
      </c>
      <c r="F35" s="187"/>
      <c r="G35" s="263"/>
      <c r="H35" s="52"/>
      <c r="I35" s="263"/>
      <c r="J35" s="52"/>
      <c r="M35" s="53">
        <v>-0.25</v>
      </c>
      <c r="N35" s="182"/>
      <c r="P35" s="187"/>
      <c r="Q35" s="263"/>
      <c r="R35" s="52"/>
      <c r="S35" s="263"/>
      <c r="T35" s="52"/>
      <c r="U35" s="263"/>
    </row>
    <row r="36">
      <c r="C36" s="53">
        <v>1.5</v>
      </c>
      <c r="F36" s="187"/>
      <c r="G36" s="263"/>
      <c r="H36" s="52"/>
      <c r="I36" s="263"/>
      <c r="J36" s="52"/>
      <c r="M36" s="53">
        <v>0.0</v>
      </c>
      <c r="N36" s="182"/>
      <c r="P36" s="187"/>
      <c r="Q36" s="263"/>
      <c r="R36" s="52"/>
      <c r="S36" s="263"/>
      <c r="T36" s="52"/>
      <c r="U36" s="263"/>
    </row>
    <row r="37">
      <c r="C37" s="53">
        <v>1.75</v>
      </c>
      <c r="F37" s="187"/>
      <c r="G37" s="263"/>
      <c r="H37" s="52"/>
      <c r="I37" s="263"/>
      <c r="J37" s="52"/>
      <c r="M37" s="53">
        <v>0.25</v>
      </c>
      <c r="N37" s="182"/>
      <c r="P37" s="187"/>
      <c r="Q37" s="263"/>
      <c r="R37" s="52"/>
      <c r="S37" s="263"/>
      <c r="T37" s="52"/>
      <c r="U37" s="263"/>
    </row>
    <row r="38">
      <c r="C38" s="53">
        <v>2.0</v>
      </c>
      <c r="F38" s="187"/>
      <c r="G38" s="263"/>
      <c r="H38" s="52"/>
      <c r="I38" s="263"/>
      <c r="J38" s="52"/>
      <c r="M38" s="53">
        <v>0.5</v>
      </c>
      <c r="N38" s="182"/>
      <c r="P38" s="187"/>
      <c r="Q38" s="263"/>
      <c r="R38" s="52"/>
      <c r="S38" s="263"/>
      <c r="T38" s="52"/>
      <c r="U38" s="263"/>
    </row>
    <row r="39">
      <c r="C39" s="53">
        <v>2.25</v>
      </c>
      <c r="F39" s="187"/>
      <c r="G39" s="263"/>
      <c r="H39" s="52"/>
      <c r="I39" s="263"/>
      <c r="J39" s="52"/>
      <c r="M39" s="53">
        <v>0.75</v>
      </c>
      <c r="N39" s="182"/>
      <c r="P39" s="187"/>
      <c r="Q39" s="263"/>
      <c r="R39" s="52"/>
      <c r="S39" s="263"/>
      <c r="T39" s="52"/>
      <c r="U39" s="263"/>
    </row>
    <row r="40">
      <c r="C40" s="53">
        <v>2.5</v>
      </c>
      <c r="F40" s="187"/>
      <c r="G40" s="263"/>
      <c r="H40" s="266"/>
      <c r="I40" s="267"/>
      <c r="J40" s="266"/>
      <c r="L40" s="31"/>
      <c r="M40" s="100">
        <v>1.0</v>
      </c>
      <c r="N40" s="198"/>
      <c r="O40" s="122"/>
      <c r="P40" s="123"/>
      <c r="Q40" s="50"/>
      <c r="R40" s="46"/>
      <c r="S40" s="50"/>
      <c r="T40" s="46"/>
      <c r="U40" s="263"/>
    </row>
    <row r="41">
      <c r="C41" s="53">
        <v>2.75</v>
      </c>
      <c r="F41" s="187"/>
      <c r="G41" s="263"/>
      <c r="H41" s="52"/>
      <c r="I41" s="263"/>
      <c r="J41" s="52"/>
    </row>
    <row r="42">
      <c r="C42" s="100">
        <v>3.0</v>
      </c>
      <c r="D42" s="122"/>
      <c r="E42" s="122"/>
      <c r="F42" s="123"/>
      <c r="G42" s="50"/>
      <c r="H42" s="46"/>
      <c r="I42" s="50"/>
      <c r="J42" s="46"/>
    </row>
  </sheetData>
  <mergeCells count="6">
    <mergeCell ref="D30:F30"/>
    <mergeCell ref="G30:H30"/>
    <mergeCell ref="I30:J30"/>
    <mergeCell ref="N30:P30"/>
    <mergeCell ref="Q30:R30"/>
    <mergeCell ref="S30:T3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3" max="13" width="17.13"/>
  </cols>
  <sheetData>
    <row r="2">
      <c r="B2" s="1" t="s">
        <v>58</v>
      </c>
      <c r="C2" s="1" t="s">
        <v>59</v>
      </c>
    </row>
    <row r="3">
      <c r="A3" s="1" t="s">
        <v>52</v>
      </c>
      <c r="B3" s="242">
        <v>0.5</v>
      </c>
      <c r="C3" s="242">
        <v>0.5</v>
      </c>
      <c r="F3" s="1" t="s">
        <v>117</v>
      </c>
      <c r="G3" s="1">
        <v>100.0</v>
      </c>
      <c r="H3" s="1" t="s">
        <v>118</v>
      </c>
      <c r="I3" s="1">
        <v>100.0</v>
      </c>
    </row>
    <row r="4">
      <c r="F4" s="137" t="s">
        <v>119</v>
      </c>
      <c r="G4" s="114"/>
      <c r="H4" s="137" t="s">
        <v>120</v>
      </c>
      <c r="I4" s="114"/>
      <c r="J4" s="245" t="s">
        <v>121</v>
      </c>
      <c r="K4" s="114"/>
    </row>
    <row r="5">
      <c r="A5" s="13" t="s">
        <v>122</v>
      </c>
      <c r="B5" s="14" t="s">
        <v>123</v>
      </c>
      <c r="C5" s="15" t="s">
        <v>124</v>
      </c>
      <c r="D5" s="14" t="s">
        <v>125</v>
      </c>
      <c r="E5" s="15" t="s">
        <v>126</v>
      </c>
      <c r="F5" s="247" t="s">
        <v>127</v>
      </c>
      <c r="G5" s="15" t="s">
        <v>128</v>
      </c>
      <c r="H5" s="247" t="s">
        <v>129</v>
      </c>
      <c r="I5" s="15" t="s">
        <v>130</v>
      </c>
      <c r="J5" s="248" t="s">
        <v>131</v>
      </c>
      <c r="K5" s="248" t="s">
        <v>132</v>
      </c>
      <c r="L5" s="1" t="s">
        <v>133</v>
      </c>
      <c r="M5" s="1" t="s">
        <v>134</v>
      </c>
    </row>
    <row r="6">
      <c r="A6" s="16">
        <v>0.0</v>
      </c>
      <c r="B6" s="8">
        <v>1.0</v>
      </c>
      <c r="C6" s="18">
        <v>1.0</v>
      </c>
      <c r="D6" s="8">
        <v>1.0</v>
      </c>
      <c r="E6" s="18">
        <v>1.0</v>
      </c>
      <c r="F6" s="56">
        <f t="shared" ref="F6:F8" si="1">$G$3*D6</f>
        <v>100</v>
      </c>
      <c r="G6" s="20">
        <f t="shared" ref="G6:G8" si="2">-$G$3</f>
        <v>-100</v>
      </c>
      <c r="H6" s="56">
        <f t="shared" ref="H6:H8" si="3">$I$3*E6</f>
        <v>100</v>
      </c>
      <c r="I6" s="20">
        <f t="shared" ref="I6:I8" si="4">-$I$3</f>
        <v>-100</v>
      </c>
      <c r="J6" s="20">
        <f t="shared" ref="J6:J8" si="5">F6+I6</f>
        <v>0</v>
      </c>
      <c r="K6" s="20">
        <f t="shared" ref="K6:K8" si="6">G6+H6</f>
        <v>0</v>
      </c>
      <c r="L6" s="36">
        <f t="shared" ref="L6:L8" si="7">J6*$B$3+K6*$C$3</f>
        <v>0</v>
      </c>
      <c r="M6" s="31">
        <f t="shared" ref="M6:M8" si="8">L6/($G$3+$I$3)</f>
        <v>0</v>
      </c>
    </row>
    <row r="7">
      <c r="A7" s="252">
        <v>0.1</v>
      </c>
      <c r="B7" s="8">
        <v>0.95</v>
      </c>
      <c r="C7" s="18">
        <v>0.95</v>
      </c>
      <c r="D7" s="8">
        <v>0.95</v>
      </c>
      <c r="E7" s="18">
        <v>0.95</v>
      </c>
      <c r="F7" s="56">
        <f t="shared" si="1"/>
        <v>95</v>
      </c>
      <c r="G7" s="20">
        <f t="shared" si="2"/>
        <v>-100</v>
      </c>
      <c r="H7" s="56">
        <f t="shared" si="3"/>
        <v>95</v>
      </c>
      <c r="I7" s="20">
        <f t="shared" si="4"/>
        <v>-100</v>
      </c>
      <c r="J7" s="20">
        <f t="shared" si="5"/>
        <v>-5</v>
      </c>
      <c r="K7" s="20">
        <f t="shared" si="6"/>
        <v>-5</v>
      </c>
      <c r="L7" s="36">
        <f t="shared" si="7"/>
        <v>-5</v>
      </c>
      <c r="M7" s="31">
        <f t="shared" si="8"/>
        <v>-0.025</v>
      </c>
    </row>
    <row r="8">
      <c r="A8" s="21">
        <v>0.24</v>
      </c>
      <c r="B8" s="22">
        <v>0.88</v>
      </c>
      <c r="C8" s="23">
        <v>0.88</v>
      </c>
      <c r="D8" s="22">
        <v>0.88</v>
      </c>
      <c r="E8" s="23">
        <v>0.88</v>
      </c>
      <c r="F8" s="62">
        <f t="shared" si="1"/>
        <v>88</v>
      </c>
      <c r="G8" s="24">
        <f t="shared" si="2"/>
        <v>-100</v>
      </c>
      <c r="H8" s="62">
        <f t="shared" si="3"/>
        <v>88</v>
      </c>
      <c r="I8" s="24">
        <f t="shared" si="4"/>
        <v>-100</v>
      </c>
      <c r="J8" s="24">
        <f t="shared" si="5"/>
        <v>-12</v>
      </c>
      <c r="K8" s="24">
        <f t="shared" si="6"/>
        <v>-12</v>
      </c>
      <c r="L8" s="36">
        <f t="shared" si="7"/>
        <v>-12</v>
      </c>
      <c r="M8" s="31">
        <f t="shared" si="8"/>
        <v>-0.06</v>
      </c>
    </row>
    <row r="11">
      <c r="B11" s="1" t="s">
        <v>58</v>
      </c>
      <c r="C11" s="1" t="s">
        <v>59</v>
      </c>
    </row>
    <row r="12">
      <c r="A12" s="1" t="s">
        <v>52</v>
      </c>
      <c r="B12" s="242">
        <v>0.3005</v>
      </c>
      <c r="C12" s="242">
        <f>1-B12</f>
        <v>0.6995</v>
      </c>
      <c r="F12" s="1" t="s">
        <v>117</v>
      </c>
      <c r="G12" s="1">
        <v>100.0</v>
      </c>
      <c r="H12" s="1" t="s">
        <v>118</v>
      </c>
      <c r="I12" s="1">
        <v>100.0</v>
      </c>
    </row>
    <row r="13">
      <c r="F13" s="137" t="s">
        <v>119</v>
      </c>
      <c r="G13" s="114"/>
      <c r="H13" s="137" t="s">
        <v>120</v>
      </c>
      <c r="I13" s="114"/>
      <c r="J13" s="245" t="s">
        <v>121</v>
      </c>
      <c r="K13" s="114"/>
    </row>
    <row r="14">
      <c r="A14" s="13" t="s">
        <v>122</v>
      </c>
      <c r="B14" s="14" t="s">
        <v>123</v>
      </c>
      <c r="C14" s="15" t="s">
        <v>124</v>
      </c>
      <c r="D14" s="14" t="s">
        <v>125</v>
      </c>
      <c r="E14" s="15" t="s">
        <v>126</v>
      </c>
      <c r="F14" s="247" t="s">
        <v>127</v>
      </c>
      <c r="G14" s="15" t="s">
        <v>128</v>
      </c>
      <c r="H14" s="247" t="s">
        <v>129</v>
      </c>
      <c r="I14" s="15" t="s">
        <v>130</v>
      </c>
      <c r="J14" s="248" t="s">
        <v>131</v>
      </c>
      <c r="K14" s="248" t="s">
        <v>132</v>
      </c>
      <c r="L14" s="1" t="s">
        <v>133</v>
      </c>
      <c r="M14" s="1" t="s">
        <v>134</v>
      </c>
    </row>
    <row r="15">
      <c r="A15" s="16">
        <v>0.0</v>
      </c>
      <c r="B15" s="261">
        <f t="shared" ref="B15:C15" si="9">1/B12-1</f>
        <v>2.327787022</v>
      </c>
      <c r="C15" s="262">
        <f t="shared" si="9"/>
        <v>0.4295925661</v>
      </c>
      <c r="D15" s="261">
        <f t="shared" ref="D15:E15" si="10">IF(B15&gt;1,-1/B15,B15)</f>
        <v>-0.4295925661</v>
      </c>
      <c r="E15" s="262">
        <f t="shared" si="10"/>
        <v>0.4295925661</v>
      </c>
      <c r="F15" s="264">
        <f>IF(D15&gt;0,G$12*D15,G$12)</f>
        <v>100</v>
      </c>
      <c r="G15" s="20">
        <f>IF(D15&gt;0,-G$12,D15*G$12)</f>
        <v>-42.95925661</v>
      </c>
      <c r="H15" s="8">
        <v>100.0</v>
      </c>
      <c r="I15" s="262">
        <v>-100.0</v>
      </c>
      <c r="J15" s="265">
        <f t="shared" ref="J15:J17" si="13">F15+I15</f>
        <v>0</v>
      </c>
      <c r="K15" s="265">
        <f t="shared" ref="K15:K17" si="14">G15+H15</f>
        <v>57.04074339</v>
      </c>
      <c r="L15" s="268">
        <f>J15*B12+K15*C12</f>
        <v>39.9</v>
      </c>
      <c r="M15" s="31">
        <f t="shared" ref="M15:M17" si="15">L15/($G$3+$I$3)</f>
        <v>0.1995</v>
      </c>
    </row>
    <row r="16">
      <c r="A16" s="252">
        <v>0.1</v>
      </c>
      <c r="B16" s="261">
        <f t="shared" ref="B16:C16" si="11">IF(D16&gt;0,D16,-1/D16)</f>
        <v>2.085103212</v>
      </c>
      <c r="C16" s="262">
        <f t="shared" si="11"/>
        <v>0.3795925661</v>
      </c>
      <c r="D16" s="261">
        <f t="shared" ref="D16:E16" si="12">D15-$A16/2</f>
        <v>-0.4795925661</v>
      </c>
      <c r="E16" s="262">
        <f t="shared" si="12"/>
        <v>0.3795925661</v>
      </c>
      <c r="F16" s="264">
        <f t="shared" ref="F16:F17" si="18">IF(B16&gt;0,G$12*B16,G$12)</f>
        <v>208.5103212</v>
      </c>
      <c r="G16" s="20">
        <f t="shared" ref="G16:G17" si="19">IF(B16&gt;0,-G$12,B16*G$12)</f>
        <v>-100</v>
      </c>
      <c r="H16" s="270">
        <f t="shared" ref="H16:H17" si="20">IF(C16&gt;0,I$12*C16,I$12)</f>
        <v>37.95925661</v>
      </c>
      <c r="I16" s="262">
        <v>-100.0</v>
      </c>
      <c r="J16" s="265">
        <f t="shared" si="13"/>
        <v>108.5103212</v>
      </c>
      <c r="K16" s="265">
        <f t="shared" si="14"/>
        <v>-62.04074339</v>
      </c>
      <c r="L16" s="268">
        <f>J16*B12+K16*C12</f>
        <v>-10.79014848</v>
      </c>
      <c r="M16" s="31">
        <f t="shared" si="15"/>
        <v>-0.05395074242</v>
      </c>
    </row>
    <row r="17">
      <c r="A17" s="21">
        <v>0.24</v>
      </c>
      <c r="B17" s="271">
        <f t="shared" ref="B17:C17" si="16">IF(D17&gt;0,D17,-1/D17)</f>
        <v>1.819529706</v>
      </c>
      <c r="C17" s="272">
        <f t="shared" si="16"/>
        <v>0.3095925661</v>
      </c>
      <c r="D17" s="271">
        <f t="shared" ref="D17:E17" si="17">D15-$A17/2</f>
        <v>-0.5495925661</v>
      </c>
      <c r="E17" s="272">
        <f t="shared" si="17"/>
        <v>0.3095925661</v>
      </c>
      <c r="F17" s="274">
        <f t="shared" si="18"/>
        <v>181.9529706</v>
      </c>
      <c r="G17" s="24">
        <f t="shared" si="19"/>
        <v>-100</v>
      </c>
      <c r="H17" s="270">
        <f t="shared" si="20"/>
        <v>30.95925661</v>
      </c>
      <c r="I17" s="272">
        <v>-100.0</v>
      </c>
      <c r="J17" s="275">
        <f t="shared" si="13"/>
        <v>81.95297055</v>
      </c>
      <c r="K17" s="275">
        <f t="shared" si="14"/>
        <v>-69.04074339</v>
      </c>
      <c r="L17" s="268">
        <f>J17*B12+K17*C12</f>
        <v>-23.66713235</v>
      </c>
      <c r="M17" s="31">
        <f t="shared" si="15"/>
        <v>-0.1183356617</v>
      </c>
    </row>
    <row r="19">
      <c r="A19" s="13" t="s">
        <v>122</v>
      </c>
      <c r="B19" s="14" t="s">
        <v>123</v>
      </c>
      <c r="C19" s="15" t="s">
        <v>124</v>
      </c>
      <c r="D19" s="14" t="s">
        <v>144</v>
      </c>
      <c r="E19" s="15" t="s">
        <v>145</v>
      </c>
      <c r="F19" s="8" t="s">
        <v>151</v>
      </c>
      <c r="L19" s="36">
        <f t="shared" ref="L19:L21" si="23">J15*D20+K15*E20</f>
        <v>39.9</v>
      </c>
      <c r="M19" s="31">
        <f t="shared" ref="M19:M21" si="24">L19/sum($G$12,$I$12)</f>
        <v>0.1995</v>
      </c>
    </row>
    <row r="20">
      <c r="A20" s="16">
        <v>0.0</v>
      </c>
      <c r="B20" s="261">
        <f t="shared" ref="B20:C20" si="21">B15</f>
        <v>2.327787022</v>
      </c>
      <c r="C20" s="262">
        <f t="shared" si="21"/>
        <v>0.4295925661</v>
      </c>
      <c r="D20" s="277">
        <f t="shared" ref="D20:E20" si="22">1/(B20+1)</f>
        <v>0.3005</v>
      </c>
      <c r="E20" s="278">
        <f t="shared" si="22"/>
        <v>0.6995</v>
      </c>
      <c r="F20" s="279">
        <f t="shared" ref="F20:F22" si="27">D20+E20-1</f>
        <v>0</v>
      </c>
      <c r="L20" s="36">
        <f t="shared" si="23"/>
        <v>-9.797990398</v>
      </c>
      <c r="M20" s="31">
        <f t="shared" si="24"/>
        <v>-0.04898995199</v>
      </c>
    </row>
    <row r="21">
      <c r="A21" s="252">
        <v>0.1</v>
      </c>
      <c r="B21" s="261">
        <f t="shared" ref="B21:C21" si="25">B16</f>
        <v>2.085103212</v>
      </c>
      <c r="C21" s="262">
        <f t="shared" si="25"/>
        <v>0.3795925661</v>
      </c>
      <c r="D21" s="277">
        <f t="shared" ref="D21:E21" si="26">1/(B21+1)</f>
        <v>0.3241382642</v>
      </c>
      <c r="E21" s="278">
        <f t="shared" si="26"/>
        <v>0.7248516878</v>
      </c>
      <c r="F21" s="279">
        <f t="shared" si="27"/>
        <v>0.04898995199</v>
      </c>
      <c r="L21" s="36">
        <f t="shared" si="23"/>
        <v>-23.65306972</v>
      </c>
      <c r="M21" s="31">
        <f t="shared" si="24"/>
        <v>-0.1182653486</v>
      </c>
      <c r="N21" s="31">
        <f>M21-M17</f>
        <v>0.00007031313091</v>
      </c>
    </row>
    <row r="22">
      <c r="A22" s="21">
        <v>0.24</v>
      </c>
      <c r="B22" s="271">
        <f t="shared" ref="B22:C22" si="28">B17</f>
        <v>1.819529706</v>
      </c>
      <c r="C22" s="272">
        <f t="shared" si="28"/>
        <v>0.3095925661</v>
      </c>
      <c r="D22" s="280">
        <f t="shared" ref="D22:E22" si="29">1/(B22+1)</f>
        <v>0.3546690776</v>
      </c>
      <c r="E22" s="281">
        <f t="shared" si="29"/>
        <v>0.763596271</v>
      </c>
      <c r="F22" s="279">
        <f t="shared" si="27"/>
        <v>0.1182653486</v>
      </c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 t="s">
        <v>58</v>
      </c>
      <c r="C27" s="1" t="s">
        <v>59</v>
      </c>
    </row>
    <row r="28">
      <c r="A28" s="1" t="s">
        <v>52</v>
      </c>
      <c r="B28" s="242">
        <v>0.85</v>
      </c>
      <c r="C28" s="242">
        <v>0.15</v>
      </c>
      <c r="F28" s="1" t="s">
        <v>117</v>
      </c>
      <c r="G28" s="1">
        <v>100.0</v>
      </c>
      <c r="H28" s="1" t="s">
        <v>118</v>
      </c>
      <c r="I28" s="1">
        <v>100.0</v>
      </c>
    </row>
    <row r="29">
      <c r="F29" s="137" t="s">
        <v>119</v>
      </c>
      <c r="G29" s="114"/>
      <c r="H29" s="137" t="s">
        <v>120</v>
      </c>
      <c r="I29" s="114"/>
      <c r="J29" s="245" t="s">
        <v>121</v>
      </c>
      <c r="K29" s="114"/>
    </row>
    <row r="30">
      <c r="A30" s="13" t="s">
        <v>122</v>
      </c>
      <c r="B30" s="14" t="s">
        <v>123</v>
      </c>
      <c r="C30" s="15" t="s">
        <v>124</v>
      </c>
      <c r="D30" s="14" t="s">
        <v>125</v>
      </c>
      <c r="E30" s="15" t="s">
        <v>126</v>
      </c>
      <c r="F30" s="247" t="s">
        <v>127</v>
      </c>
      <c r="G30" s="15" t="s">
        <v>128</v>
      </c>
      <c r="H30" s="247" t="s">
        <v>129</v>
      </c>
      <c r="I30" s="15" t="s">
        <v>130</v>
      </c>
      <c r="J30" s="248" t="s">
        <v>131</v>
      </c>
      <c r="K30" s="248" t="s">
        <v>132</v>
      </c>
      <c r="L30" s="1" t="s">
        <v>133</v>
      </c>
      <c r="M30" s="1" t="s">
        <v>134</v>
      </c>
    </row>
    <row r="31">
      <c r="A31" s="16">
        <v>0.0</v>
      </c>
      <c r="B31" s="261">
        <f t="shared" ref="B31:C31" si="30">1/B28-1</f>
        <v>0.1764705882</v>
      </c>
      <c r="C31" s="262">
        <f t="shared" si="30"/>
        <v>5.666666667</v>
      </c>
      <c r="D31" s="261">
        <f t="shared" ref="D31:E31" si="31">IF(B31&gt;1,-1/B31,B31)</f>
        <v>0.1764705882</v>
      </c>
      <c r="E31" s="262">
        <f t="shared" si="31"/>
        <v>-0.1764705882</v>
      </c>
      <c r="F31" s="264">
        <f>G28*B31</f>
        <v>17.64705882</v>
      </c>
      <c r="G31" s="262">
        <f>-G28</f>
        <v>-100</v>
      </c>
      <c r="H31" s="264">
        <f>C31*I28</f>
        <v>566.6666667</v>
      </c>
      <c r="I31" s="282">
        <f>-I28</f>
        <v>-100</v>
      </c>
      <c r="J31" s="265">
        <f t="shared" ref="J31:J33" si="34">F31+I31</f>
        <v>-82.35294118</v>
      </c>
      <c r="K31" s="265">
        <f t="shared" ref="K31:K33" si="35">G31+H31</f>
        <v>466.6666667</v>
      </c>
      <c r="L31" s="268">
        <f>J31*B28+K31*C28</f>
        <v>0</v>
      </c>
      <c r="M31" s="31">
        <f t="shared" ref="M31:M33" si="36">L31/($G$3+$I$3)</f>
        <v>0</v>
      </c>
    </row>
    <row r="32">
      <c r="A32" s="252">
        <v>0.1</v>
      </c>
      <c r="B32" s="261">
        <f t="shared" ref="B32:C32" si="32">IF(D32&gt;0,D32,-1/D32)</f>
        <v>0.1264705882</v>
      </c>
      <c r="C32" s="262">
        <f t="shared" si="32"/>
        <v>4.415584416</v>
      </c>
      <c r="D32" s="261">
        <f t="shared" ref="D32:E32" si="33">D31-$A32/2</f>
        <v>0.1264705882</v>
      </c>
      <c r="E32" s="262">
        <f t="shared" si="33"/>
        <v>-0.2264705882</v>
      </c>
      <c r="F32" s="264">
        <f>B32*G28</f>
        <v>12.64705882</v>
      </c>
      <c r="G32" s="282">
        <f>-G28</f>
        <v>-100</v>
      </c>
      <c r="H32" s="264">
        <f>C32*I28</f>
        <v>441.5584416</v>
      </c>
      <c r="I32" s="282">
        <f>-I28</f>
        <v>-100</v>
      </c>
      <c r="J32" s="265">
        <f t="shared" si="34"/>
        <v>-87.35294118</v>
      </c>
      <c r="K32" s="265">
        <f t="shared" si="35"/>
        <v>341.5584416</v>
      </c>
      <c r="L32" s="268">
        <f>J32*B28+K32*C28</f>
        <v>-23.01623377</v>
      </c>
      <c r="M32" s="31">
        <f t="shared" si="36"/>
        <v>-0.1150811688</v>
      </c>
    </row>
    <row r="33">
      <c r="A33" s="21">
        <v>0.24</v>
      </c>
      <c r="B33" s="271">
        <f t="shared" ref="B33:C33" si="37">IF(D33&gt;0,D33,-1/D33)</f>
        <v>0.05647058824</v>
      </c>
      <c r="C33" s="272">
        <f t="shared" si="37"/>
        <v>3.373015873</v>
      </c>
      <c r="D33" s="271">
        <f t="shared" ref="D33:E33" si="38">D31-$A33/2</f>
        <v>0.05647058824</v>
      </c>
      <c r="E33" s="272">
        <f t="shared" si="38"/>
        <v>-0.2964705882</v>
      </c>
      <c r="F33" s="274">
        <f>B33*G28</f>
        <v>5.647058824</v>
      </c>
      <c r="G33" s="283">
        <f>-G28</f>
        <v>-100</v>
      </c>
      <c r="H33" s="274">
        <f>C33*I28</f>
        <v>337.3015873</v>
      </c>
      <c r="I33" s="283">
        <f>-I28</f>
        <v>-100</v>
      </c>
      <c r="J33" s="275">
        <f t="shared" si="34"/>
        <v>-94.35294118</v>
      </c>
      <c r="K33" s="275">
        <f t="shared" si="35"/>
        <v>237.3015873</v>
      </c>
      <c r="L33" s="268">
        <f>J33*B28+K33*C28</f>
        <v>-44.6047619</v>
      </c>
      <c r="M33" s="31">
        <f t="shared" si="36"/>
        <v>-0.2230238095</v>
      </c>
    </row>
    <row r="35">
      <c r="A35" s="13" t="s">
        <v>122</v>
      </c>
      <c r="B35" s="14" t="s">
        <v>123</v>
      </c>
      <c r="C35" s="15" t="s">
        <v>124</v>
      </c>
      <c r="D35" s="14" t="s">
        <v>144</v>
      </c>
      <c r="E35" s="15" t="s">
        <v>145</v>
      </c>
      <c r="F35" s="8" t="s">
        <v>151</v>
      </c>
      <c r="L35" s="36">
        <f t="shared" ref="L35:L37" si="41">J31*D36+K31*E36</f>
        <v>0</v>
      </c>
      <c r="M35" s="31">
        <f t="shared" ref="M35:M37" si="42">L35/sum($G$12,$I$12)</f>
        <v>0</v>
      </c>
    </row>
    <row r="36">
      <c r="A36" s="16">
        <v>0.0</v>
      </c>
      <c r="B36" s="261">
        <f t="shared" ref="B36:C36" si="39">B31</f>
        <v>0.1764705882</v>
      </c>
      <c r="C36" s="262">
        <f t="shared" si="39"/>
        <v>5.666666667</v>
      </c>
      <c r="D36" s="277">
        <f t="shared" ref="D36:E36" si="40">1/(B36+1)</f>
        <v>0.85</v>
      </c>
      <c r="E36" s="278">
        <f t="shared" si="40"/>
        <v>0.15</v>
      </c>
      <c r="F36" s="279">
        <f t="shared" ref="F36:F38" si="45">D36+E36-1</f>
        <v>0</v>
      </c>
      <c r="L36" s="36">
        <f t="shared" si="41"/>
        <v>-14.47614754</v>
      </c>
      <c r="M36" s="31">
        <f t="shared" si="42"/>
        <v>-0.07238073771</v>
      </c>
    </row>
    <row r="37">
      <c r="A37" s="252">
        <v>0.1</v>
      </c>
      <c r="B37" s="261">
        <f t="shared" ref="B37:C37" si="43">B32</f>
        <v>0.1264705882</v>
      </c>
      <c r="C37" s="262">
        <f t="shared" si="43"/>
        <v>4.415584416</v>
      </c>
      <c r="D37" s="277">
        <f t="shared" ref="D37:E37" si="44">1/(B37+1)</f>
        <v>0.8877284595</v>
      </c>
      <c r="E37" s="278">
        <f t="shared" si="44"/>
        <v>0.1846522782</v>
      </c>
      <c r="F37" s="279">
        <f t="shared" si="45"/>
        <v>0.07238073771</v>
      </c>
      <c r="L37" s="36">
        <f t="shared" si="41"/>
        <v>-35.04460406</v>
      </c>
      <c r="M37" s="31">
        <f t="shared" si="42"/>
        <v>-0.1752230203</v>
      </c>
    </row>
    <row r="38">
      <c r="A38" s="21">
        <v>0.24</v>
      </c>
      <c r="B38" s="271">
        <f t="shared" ref="B38:C38" si="46">B33</f>
        <v>0.05647058824</v>
      </c>
      <c r="C38" s="272">
        <f t="shared" si="46"/>
        <v>3.373015873</v>
      </c>
      <c r="D38" s="280">
        <f t="shared" ref="D38:E38" si="47">1/(B38+1)</f>
        <v>0.9465478842</v>
      </c>
      <c r="E38" s="281">
        <f t="shared" si="47"/>
        <v>0.2286751361</v>
      </c>
      <c r="F38" s="279">
        <f t="shared" si="45"/>
        <v>0.1752230203</v>
      </c>
    </row>
  </sheetData>
  <mergeCells count="9">
    <mergeCell ref="H29:I29"/>
    <mergeCell ref="J29:K29"/>
    <mergeCell ref="F4:G4"/>
    <mergeCell ref="H4:I4"/>
    <mergeCell ref="J4:K4"/>
    <mergeCell ref="F13:G13"/>
    <mergeCell ref="H13:I13"/>
    <mergeCell ref="J13:K13"/>
    <mergeCell ref="F29:G2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</cols>
  <sheetData>
    <row r="3">
      <c r="C3" s="1" t="s">
        <v>58</v>
      </c>
      <c r="D3" s="1" t="s">
        <v>59</v>
      </c>
    </row>
    <row r="4">
      <c r="B4" s="1" t="s">
        <v>52</v>
      </c>
      <c r="C4" s="242">
        <v>0.5</v>
      </c>
      <c r="D4" s="242">
        <v>0.5</v>
      </c>
    </row>
    <row r="5">
      <c r="B5" s="1" t="s">
        <v>138</v>
      </c>
      <c r="C5" s="36">
        <f t="shared" ref="C5:D5" si="1">1/C4</f>
        <v>2</v>
      </c>
      <c r="D5" s="36">
        <f t="shared" si="1"/>
        <v>2</v>
      </c>
    </row>
    <row r="6">
      <c r="B6" s="1" t="s">
        <v>139</v>
      </c>
      <c r="C6" s="36">
        <f t="shared" ref="C6:D6" si="2">C5-1</f>
        <v>1</v>
      </c>
      <c r="D6" s="36">
        <f t="shared" si="2"/>
        <v>1</v>
      </c>
    </row>
    <row r="7">
      <c r="B7" s="1" t="s">
        <v>140</v>
      </c>
      <c r="C7" s="36">
        <f t="shared" ref="C7:D7" si="3">IF(C6&gt;1,-1/C6,C6)</f>
        <v>1</v>
      </c>
      <c r="D7" s="36">
        <f t="shared" si="3"/>
        <v>1</v>
      </c>
    </row>
    <row r="8">
      <c r="C8" s="56"/>
      <c r="D8" s="56"/>
      <c r="E8" s="56"/>
      <c r="F8" s="56"/>
      <c r="G8" s="56"/>
      <c r="H8" s="8"/>
      <c r="I8" s="8"/>
    </row>
    <row r="9">
      <c r="C9" s="8" t="s">
        <v>141</v>
      </c>
      <c r="E9" s="8" t="s">
        <v>43</v>
      </c>
      <c r="G9" s="56"/>
      <c r="H9" s="8" t="s">
        <v>142</v>
      </c>
    </row>
    <row r="10">
      <c r="B10" s="8" t="s">
        <v>143</v>
      </c>
      <c r="C10" s="8" t="s">
        <v>58</v>
      </c>
      <c r="D10" s="8" t="s">
        <v>59</v>
      </c>
      <c r="E10" s="8" t="s">
        <v>144</v>
      </c>
      <c r="F10" s="8" t="s">
        <v>145</v>
      </c>
      <c r="G10" s="8" t="s">
        <v>146</v>
      </c>
      <c r="H10" s="8" t="s">
        <v>58</v>
      </c>
      <c r="I10" s="8" t="s">
        <v>59</v>
      </c>
    </row>
    <row r="11">
      <c r="B11" s="1" t="s">
        <v>147</v>
      </c>
      <c r="C11" s="1">
        <v>0.8</v>
      </c>
      <c r="D11" s="1">
        <v>1.0</v>
      </c>
      <c r="E11" s="31">
        <f t="shared" ref="E11:F11" si="4">1/(C11+1)</f>
        <v>0.5555555556</v>
      </c>
      <c r="F11" s="31">
        <f t="shared" si="4"/>
        <v>0.5</v>
      </c>
      <c r="G11" s="31">
        <f t="shared" ref="G11:G13" si="6">E11+F11-1</f>
        <v>0.05555555556</v>
      </c>
      <c r="H11" s="269">
        <f t="shared" ref="H11:H13" si="7">(E11-$C$4)/G11</f>
        <v>1</v>
      </c>
      <c r="I11" s="269">
        <f t="shared" ref="I11:I13" si="8">(F11-$D$4)/G11</f>
        <v>0</v>
      </c>
    </row>
    <row r="12">
      <c r="B12" s="1" t="s">
        <v>148</v>
      </c>
      <c r="C12" s="1">
        <v>1.0</v>
      </c>
      <c r="D12" s="1">
        <v>0.8</v>
      </c>
      <c r="E12" s="31">
        <f t="shared" ref="E12:F12" si="5">1/(C12+1)</f>
        <v>0.5</v>
      </c>
      <c r="F12" s="31">
        <f t="shared" si="5"/>
        <v>0.5555555556</v>
      </c>
      <c r="G12" s="31">
        <f t="shared" si="6"/>
        <v>0.05555555556</v>
      </c>
      <c r="H12" s="269">
        <f t="shared" si="7"/>
        <v>0</v>
      </c>
      <c r="I12" s="269">
        <f t="shared" si="8"/>
        <v>1</v>
      </c>
    </row>
    <row r="13">
      <c r="B13" s="1" t="s">
        <v>149</v>
      </c>
      <c r="C13" s="1">
        <v>0.9</v>
      </c>
      <c r="D13" s="1">
        <v>0.9</v>
      </c>
      <c r="E13" s="31">
        <f t="shared" ref="E13:F13" si="9">1/(C13+1)</f>
        <v>0.5263157895</v>
      </c>
      <c r="F13" s="31">
        <f t="shared" si="9"/>
        <v>0.5263157895</v>
      </c>
      <c r="G13" s="31">
        <f t="shared" si="6"/>
        <v>0.05263157895</v>
      </c>
      <c r="H13" s="269">
        <f t="shared" si="7"/>
        <v>0.5</v>
      </c>
      <c r="I13" s="269">
        <f t="shared" si="8"/>
        <v>0.5</v>
      </c>
    </row>
    <row r="15">
      <c r="B15" s="1" t="s">
        <v>150</v>
      </c>
      <c r="C15" s="273">
        <f t="shared" ref="C15:D15" si="10">1/E15-1</f>
        <v>0.9354339243</v>
      </c>
      <c r="D15" s="273">
        <f t="shared" si="10"/>
        <v>0.8555629778</v>
      </c>
      <c r="E15" s="70">
        <f>C4+G15*H15</f>
        <v>0.51668</v>
      </c>
      <c r="F15" s="70">
        <f>D4+G15*I15</f>
        <v>0.53892</v>
      </c>
      <c r="G15" s="276">
        <v>0.0556</v>
      </c>
      <c r="H15" s="242">
        <v>0.3</v>
      </c>
      <c r="I15" s="242">
        <v>0.7</v>
      </c>
    </row>
  </sheetData>
  <mergeCells count="3">
    <mergeCell ref="C9:D9"/>
    <mergeCell ref="E9:F9"/>
    <mergeCell ref="H9:I9"/>
  </mergeCells>
  <drawing r:id="rId1"/>
</worksheet>
</file>